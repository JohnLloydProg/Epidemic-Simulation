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Unida\Documents\VSC\Python\EpidemicSimulation\"/>
    </mc:Choice>
  </mc:AlternateContent>
  <xr:revisionPtr revIDLastSave="0" documentId="13_ncr:1_{D41068FF-2E8D-4F6D-9F82-5154F49EF5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daluyong" sheetId="1" r:id="rId1"/>
    <sheet name="Pasay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8" i="1" l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</calcChain>
</file>

<file path=xl/sharedStrings.xml><?xml version="1.0" encoding="utf-8"?>
<sst xmlns="http://schemas.openxmlformats.org/spreadsheetml/2006/main" count="119" uniqueCount="103">
  <si>
    <t>https://www.philatlas.com/luzon/ncr/mandaluyong.html</t>
  </si>
  <si>
    <t>https://mandaluyong.gov.ph/profile/commercial-activities</t>
  </si>
  <si>
    <t>Node Coordinates</t>
  </si>
  <si>
    <t>Road Edge Connections</t>
  </si>
  <si>
    <t>Mandaluyong</t>
  </si>
  <si>
    <t>Node</t>
  </si>
  <si>
    <t>X-Coordinate</t>
  </si>
  <si>
    <t>Y-Coordinate</t>
  </si>
  <si>
    <t>Edge</t>
  </si>
  <si>
    <t>Node 1</t>
  </si>
  <si>
    <t>Node 2</t>
  </si>
  <si>
    <t>Map edge nodes within the region</t>
  </si>
  <si>
    <t>Artifical Nodes within the region</t>
  </si>
  <si>
    <t>Street Nodes within the Region</t>
  </si>
  <si>
    <t>Region</t>
  </si>
  <si>
    <t>Area(in m^2)</t>
  </si>
  <si>
    <t>Alloted Residential Units</t>
  </si>
  <si>
    <t>Alloted Business Units</t>
  </si>
  <si>
    <t>88,89,90,91,92</t>
  </si>
  <si>
    <t>1,2</t>
  </si>
  <si>
    <t xml:space="preserve"> 93,94,95,96,97,98</t>
  </si>
  <si>
    <t xml:space="preserve"> </t>
  </si>
  <si>
    <t>1,2,3,115,116</t>
  </si>
  <si>
    <t>86,87,88</t>
  </si>
  <si>
    <t xml:space="preserve">  7,8,9</t>
  </si>
  <si>
    <t>7,8,9,11</t>
  </si>
  <si>
    <t>83,84,85</t>
  </si>
  <si>
    <t xml:space="preserve"> 9,12</t>
  </si>
  <si>
    <t>12,30,31</t>
  </si>
  <si>
    <t>2,3,4,5</t>
  </si>
  <si>
    <t>5,6,7</t>
  </si>
  <si>
    <t xml:space="preserve"> 5,6,10</t>
  </si>
  <si>
    <t>6,7,10,11</t>
  </si>
  <si>
    <t>9,11,12</t>
  </si>
  <si>
    <t>3,4,16,116</t>
  </si>
  <si>
    <t>4,5,10,13,14</t>
  </si>
  <si>
    <t>13,14,15,21,23,24,25,26</t>
  </si>
  <si>
    <t>10,11,13,26,27</t>
  </si>
  <si>
    <t>11,12,27,30</t>
  </si>
  <si>
    <t>17,19,20,115, 116</t>
  </si>
  <si>
    <t>16,17,18,116</t>
  </si>
  <si>
    <t xml:space="preserve"> 4,16,22</t>
  </si>
  <si>
    <t>14,15,21,22</t>
  </si>
  <si>
    <t>24,25,26,27,28,29</t>
  </si>
  <si>
    <t>27,30,31</t>
  </si>
  <si>
    <t>19,20,45,46</t>
  </si>
  <si>
    <t>17,18,19,44,45</t>
  </si>
  <si>
    <t xml:space="preserve"> 18,43,44</t>
  </si>
  <si>
    <t>16,18,22</t>
  </si>
  <si>
    <t>22,36</t>
  </si>
  <si>
    <t>22,23,25,29,35</t>
  </si>
  <si>
    <t>28,29,33,34,35</t>
  </si>
  <si>
    <t>27,28,31,32,33</t>
  </si>
  <si>
    <t>31,32</t>
  </si>
  <si>
    <t>32,33,34</t>
  </si>
  <si>
    <t>22,35,36</t>
  </si>
  <si>
    <t>102, 103, 104, 105</t>
  </si>
  <si>
    <t>20, 46, 47</t>
  </si>
  <si>
    <t>43, 44, 45, 46</t>
  </si>
  <si>
    <t>36, 40, 41, 42 ,43</t>
  </si>
  <si>
    <t>36, 39, 40</t>
  </si>
  <si>
    <t>35, 36, 39</t>
  </si>
  <si>
    <t>34, 35, 39</t>
  </si>
  <si>
    <t>32, 34, 37, 38, 39</t>
  </si>
  <si>
    <t>81, 82</t>
  </si>
  <si>
    <t>32, 37, 38</t>
  </si>
  <si>
    <t>66, 67</t>
  </si>
  <si>
    <t>42, 43, 46, 47, 48</t>
  </si>
  <si>
    <t>41, 42, 48, 49, 69</t>
  </si>
  <si>
    <t>40, 41, 69</t>
  </si>
  <si>
    <t>40, 49, 69</t>
  </si>
  <si>
    <t>39, 40</t>
  </si>
  <si>
    <t>39, 50, 51</t>
  </si>
  <si>
    <t>39, 50</t>
  </si>
  <si>
    <t>38, 39</t>
  </si>
  <si>
    <t>50, 52, 53</t>
  </si>
  <si>
    <t>67,71</t>
  </si>
  <si>
    <t>66, 67,71</t>
  </si>
  <si>
    <t>47, 61, 64, 65</t>
  </si>
  <si>
    <t>47, 48, 49, 59, 60, 61</t>
  </si>
  <si>
    <t>49, 51, 57, 59</t>
  </si>
  <si>
    <t>50, 51, 52</t>
  </si>
  <si>
    <t>52, 53, 54</t>
  </si>
  <si>
    <t>66, 68,71</t>
  </si>
  <si>
    <t>65, 66</t>
  </si>
  <si>
    <t>74, 75</t>
  </si>
  <si>
    <t>63, 64, 65</t>
  </si>
  <si>
    <t>61, 62, 63, 64</t>
  </si>
  <si>
    <t>58, 60, 61, 62</t>
  </si>
  <si>
    <t>56, 57, 58, 59, 60</t>
  </si>
  <si>
    <t>51, 52, 54, 56, 57</t>
  </si>
  <si>
    <t>77, 78</t>
  </si>
  <si>
    <t>55, 56, 58</t>
  </si>
  <si>
    <t>54, 55, 56</t>
  </si>
  <si>
    <t>78, 79, 80</t>
  </si>
  <si>
    <t>54, 55</t>
  </si>
  <si>
    <t>62, 63</t>
  </si>
  <si>
    <t>21, 22 ,23</t>
  </si>
  <si>
    <t>72,73</t>
  </si>
  <si>
    <t>66,68</t>
  </si>
  <si>
    <t xml:space="preserve">               </t>
  </si>
  <si>
    <t xml:space="preserve">    </t>
  </si>
  <si>
    <t>Pasay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</si>
</sst>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u/>
      <sz val="10"/>
      <color rgb="FF0000FF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hilatlas.com/luzon/ncr/mandaluyong.html" TargetMode="External"/><Relationship Id="rId1" Type="http://schemas.openxmlformats.org/officeDocument/2006/relationships/hyperlink" Target="https://mandaluyong.gov.ph/profile/commercial-activit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1"/>
  <sheetViews>
    <sheetView tabSelected="1" topLeftCell="A86" workbookViewId="0">
      <selection activeCell="M3" sqref="M3:O106"/>
    </sheetView>
  </sheetViews>
  <sheetFormatPr defaultColWidth="12.6640625" defaultRowHeight="15.75" customHeight="1" x14ac:dyDescent="0.25"/>
  <cols>
    <col min="1" max="1" width="12.6640625" style="10"/>
    <col min="2" max="2" width="13.77734375" bestFit="1" customWidth="1"/>
  </cols>
  <sheetData>
    <row r="1" spans="1:29" ht="66" x14ac:dyDescent="0.25">
      <c r="B1" s="1"/>
      <c r="C1" s="1"/>
      <c r="D1" s="1"/>
      <c r="E1" s="1"/>
      <c r="F1" s="2" t="s">
        <v>0</v>
      </c>
      <c r="G1" s="2" t="s">
        <v>1</v>
      </c>
      <c r="H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3.2" x14ac:dyDescent="0.25">
      <c r="B2" s="13" t="s">
        <v>4</v>
      </c>
      <c r="C2" s="13"/>
      <c r="D2" s="13"/>
      <c r="E2" s="13"/>
      <c r="F2" s="1">
        <v>100356</v>
      </c>
      <c r="G2" s="1">
        <v>16321</v>
      </c>
      <c r="H2" s="3"/>
      <c r="I2" s="12" t="s">
        <v>2</v>
      </c>
      <c r="J2" s="12"/>
      <c r="K2" s="12"/>
      <c r="L2" s="3"/>
      <c r="M2" s="12" t="s">
        <v>3</v>
      </c>
      <c r="N2" s="12"/>
      <c r="O2" s="12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46.8" customHeight="1" x14ac:dyDescent="0.25">
      <c r="A3" s="5" t="s">
        <v>14</v>
      </c>
      <c r="B3" s="5" t="s">
        <v>11</v>
      </c>
      <c r="C3" s="5" t="s">
        <v>12</v>
      </c>
      <c r="D3" s="5" t="s">
        <v>13</v>
      </c>
      <c r="E3" s="5" t="s">
        <v>15</v>
      </c>
      <c r="F3" s="5" t="s">
        <v>16</v>
      </c>
      <c r="G3" s="5" t="s">
        <v>17</v>
      </c>
      <c r="H3" s="9"/>
      <c r="I3" s="11" t="s">
        <v>5</v>
      </c>
      <c r="J3" s="11" t="s">
        <v>6</v>
      </c>
      <c r="K3" s="11" t="s">
        <v>7</v>
      </c>
      <c r="L3" s="9"/>
      <c r="M3" s="11" t="s">
        <v>8</v>
      </c>
      <c r="N3" s="11" t="s">
        <v>9</v>
      </c>
      <c r="O3" s="11" t="s">
        <v>10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26.4" x14ac:dyDescent="0.25">
      <c r="A4" s="4">
        <v>1</v>
      </c>
      <c r="B4" s="4" t="s">
        <v>18</v>
      </c>
      <c r="C4" s="3"/>
      <c r="D4" s="4" t="s">
        <v>19</v>
      </c>
      <c r="E4" s="4">
        <v>34849</v>
      </c>
      <c r="F4" s="3">
        <f t="shared" ref="F4:F35" si="0">ROUNDUP(E4 / SUM($E$4:$E$78) * $F$2, 0)</f>
        <v>307</v>
      </c>
      <c r="G4" s="3">
        <f t="shared" ref="G4:G35" si="1">ROUNDUP(E4 / SUM($E$4:$E$78) * $G$2, 0)</f>
        <v>50</v>
      </c>
      <c r="H4" s="3"/>
      <c r="I4" s="6">
        <v>1</v>
      </c>
      <c r="J4" s="4">
        <v>278</v>
      </c>
      <c r="K4" s="4">
        <v>163</v>
      </c>
      <c r="L4" s="3"/>
      <c r="M4" s="4">
        <v>1</v>
      </c>
      <c r="N4" s="4">
        <v>1</v>
      </c>
      <c r="O4" s="4">
        <v>2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39.6" x14ac:dyDescent="0.25">
      <c r="A5" s="4">
        <v>2</v>
      </c>
      <c r="B5" s="4" t="s">
        <v>20</v>
      </c>
      <c r="C5" s="4" t="s">
        <v>21</v>
      </c>
      <c r="D5" s="4" t="s">
        <v>22</v>
      </c>
      <c r="E5" s="4">
        <v>276261</v>
      </c>
      <c r="F5" s="3">
        <f t="shared" si="0"/>
        <v>2427</v>
      </c>
      <c r="G5" s="3">
        <f t="shared" si="1"/>
        <v>395</v>
      </c>
      <c r="H5" s="3"/>
      <c r="I5" s="4">
        <v>2</v>
      </c>
      <c r="J5" s="4">
        <v>257</v>
      </c>
      <c r="K5" s="4">
        <v>195</v>
      </c>
      <c r="L5" s="3"/>
      <c r="M5" s="4">
        <v>2</v>
      </c>
      <c r="N5" s="4">
        <v>8</v>
      </c>
      <c r="O5" s="4">
        <v>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3.2" x14ac:dyDescent="0.25">
      <c r="A6" s="4">
        <v>3</v>
      </c>
      <c r="B6" s="4" t="s">
        <v>23</v>
      </c>
      <c r="C6" s="4">
        <v>108</v>
      </c>
      <c r="D6" s="4" t="s">
        <v>24</v>
      </c>
      <c r="E6" s="4">
        <v>220864</v>
      </c>
      <c r="F6" s="3">
        <f t="shared" si="0"/>
        <v>1941</v>
      </c>
      <c r="G6" s="3">
        <f t="shared" si="1"/>
        <v>316</v>
      </c>
      <c r="H6" s="3"/>
      <c r="I6" s="6">
        <v>3</v>
      </c>
      <c r="J6" s="4">
        <v>434</v>
      </c>
      <c r="K6" s="4">
        <v>287</v>
      </c>
      <c r="L6" s="3"/>
      <c r="M6" s="4">
        <v>3</v>
      </c>
      <c r="N6" s="4">
        <v>7</v>
      </c>
      <c r="O6" s="4">
        <v>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3.2" x14ac:dyDescent="0.25">
      <c r="A7" s="4">
        <v>4</v>
      </c>
      <c r="B7" s="4" t="s">
        <v>21</v>
      </c>
      <c r="C7" s="3"/>
      <c r="D7" s="4" t="s">
        <v>25</v>
      </c>
      <c r="E7" s="4">
        <v>300733</v>
      </c>
      <c r="F7" s="3">
        <f t="shared" si="0"/>
        <v>2642</v>
      </c>
      <c r="G7" s="3">
        <f t="shared" si="1"/>
        <v>430</v>
      </c>
      <c r="H7" s="3"/>
      <c r="I7" s="4">
        <v>4</v>
      </c>
      <c r="J7" s="4">
        <v>434</v>
      </c>
      <c r="K7" s="4">
        <v>346</v>
      </c>
      <c r="L7" s="3"/>
      <c r="M7" s="4">
        <v>4</v>
      </c>
      <c r="N7" s="4">
        <v>9</v>
      </c>
      <c r="O7" s="4">
        <v>12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3.2" x14ac:dyDescent="0.25">
      <c r="A8" s="4">
        <v>5</v>
      </c>
      <c r="B8" s="4" t="s">
        <v>26</v>
      </c>
      <c r="C8" s="4">
        <v>114</v>
      </c>
      <c r="D8" s="4">
        <v>9</v>
      </c>
      <c r="E8" s="4">
        <v>152460</v>
      </c>
      <c r="F8" s="3">
        <f t="shared" si="0"/>
        <v>1340</v>
      </c>
      <c r="G8" s="3">
        <f t="shared" si="1"/>
        <v>218</v>
      </c>
      <c r="H8" s="3"/>
      <c r="I8" s="6">
        <v>5</v>
      </c>
      <c r="J8" s="4">
        <v>363</v>
      </c>
      <c r="K8" s="4">
        <v>364</v>
      </c>
      <c r="L8" s="3"/>
      <c r="M8" s="4">
        <v>5</v>
      </c>
      <c r="N8" s="4">
        <v>2</v>
      </c>
      <c r="O8" s="4">
        <v>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3.2" x14ac:dyDescent="0.25">
      <c r="A9" s="4">
        <v>6</v>
      </c>
      <c r="B9" s="4" t="s">
        <v>21</v>
      </c>
      <c r="C9" s="4">
        <v>114</v>
      </c>
      <c r="D9" s="4" t="s">
        <v>27</v>
      </c>
      <c r="E9" s="4">
        <v>312753</v>
      </c>
      <c r="F9" s="3">
        <f t="shared" si="0"/>
        <v>2748</v>
      </c>
      <c r="G9" s="3">
        <f t="shared" si="1"/>
        <v>447</v>
      </c>
      <c r="H9" s="3"/>
      <c r="I9" s="4">
        <v>6</v>
      </c>
      <c r="J9" s="4">
        <v>275</v>
      </c>
      <c r="K9" s="4">
        <v>414</v>
      </c>
      <c r="L9" s="3"/>
      <c r="M9" s="4">
        <v>6</v>
      </c>
      <c r="N9" s="4">
        <v>6</v>
      </c>
      <c r="O9" s="4">
        <v>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3.2" x14ac:dyDescent="0.25">
      <c r="A10" s="4">
        <v>7</v>
      </c>
      <c r="B10" s="4">
        <v>83</v>
      </c>
      <c r="C10" s="4">
        <v>114</v>
      </c>
      <c r="D10" s="4" t="s">
        <v>28</v>
      </c>
      <c r="E10" s="4">
        <v>145700</v>
      </c>
      <c r="F10" s="3">
        <f t="shared" si="0"/>
        <v>1280</v>
      </c>
      <c r="G10" s="3">
        <f t="shared" si="1"/>
        <v>209</v>
      </c>
      <c r="H10" s="3"/>
      <c r="I10" s="6">
        <v>7</v>
      </c>
      <c r="J10" s="4">
        <v>233</v>
      </c>
      <c r="K10" s="4">
        <v>370</v>
      </c>
      <c r="L10" s="3"/>
      <c r="M10" s="4">
        <v>7</v>
      </c>
      <c r="N10" s="4">
        <v>7</v>
      </c>
      <c r="O10" s="4">
        <v>11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3.2" x14ac:dyDescent="0.25">
      <c r="A11" s="4">
        <v>8</v>
      </c>
      <c r="B11" s="4">
        <v>88</v>
      </c>
      <c r="C11" s="4">
        <v>109</v>
      </c>
      <c r="D11" s="4" t="s">
        <v>29</v>
      </c>
      <c r="E11" s="4">
        <v>246503</v>
      </c>
      <c r="F11" s="3">
        <f t="shared" si="0"/>
        <v>2166</v>
      </c>
      <c r="G11" s="3">
        <f t="shared" si="1"/>
        <v>353</v>
      </c>
      <c r="H11" s="3"/>
      <c r="I11" s="4">
        <v>8</v>
      </c>
      <c r="J11" s="4">
        <v>197</v>
      </c>
      <c r="K11" s="4">
        <v>320</v>
      </c>
      <c r="L11" s="3"/>
      <c r="M11" s="4">
        <v>8</v>
      </c>
      <c r="N11" s="4">
        <v>11</v>
      </c>
      <c r="O11" s="4">
        <v>12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3.2" x14ac:dyDescent="0.25">
      <c r="A12" s="4">
        <v>9</v>
      </c>
      <c r="B12" s="4">
        <v>88</v>
      </c>
      <c r="C12" s="7">
        <v>108109</v>
      </c>
      <c r="D12" s="4">
        <v>5</v>
      </c>
      <c r="E12" s="4">
        <v>185851</v>
      </c>
      <c r="F12" s="3">
        <f t="shared" si="0"/>
        <v>1633</v>
      </c>
      <c r="G12" s="3">
        <f t="shared" si="1"/>
        <v>266</v>
      </c>
      <c r="H12" s="3"/>
      <c r="I12" s="6">
        <v>9</v>
      </c>
      <c r="J12" s="4">
        <v>124</v>
      </c>
      <c r="K12" s="4">
        <v>361</v>
      </c>
      <c r="L12" s="3"/>
      <c r="M12" s="4">
        <v>9</v>
      </c>
      <c r="N12" s="4">
        <v>5</v>
      </c>
      <c r="O12" s="4">
        <v>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3.2" x14ac:dyDescent="0.25">
      <c r="A13" s="4">
        <v>10</v>
      </c>
      <c r="B13" s="3"/>
      <c r="C13" s="4">
        <v>108</v>
      </c>
      <c r="D13" s="4" t="s">
        <v>30</v>
      </c>
      <c r="E13" s="4">
        <v>207368</v>
      </c>
      <c r="F13" s="3">
        <f t="shared" si="0"/>
        <v>1822</v>
      </c>
      <c r="G13" s="3">
        <f t="shared" si="1"/>
        <v>297</v>
      </c>
      <c r="H13" s="3"/>
      <c r="I13" s="4">
        <v>10</v>
      </c>
      <c r="J13" s="4">
        <v>304</v>
      </c>
      <c r="K13" s="4">
        <v>471</v>
      </c>
      <c r="L13" s="3"/>
      <c r="M13" s="4">
        <v>10</v>
      </c>
      <c r="N13" s="4">
        <v>6</v>
      </c>
      <c r="O13" s="4">
        <v>10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3.2" x14ac:dyDescent="0.25">
      <c r="A14" s="4">
        <v>11</v>
      </c>
      <c r="B14" s="3"/>
      <c r="C14" s="3"/>
      <c r="D14" s="4" t="s">
        <v>31</v>
      </c>
      <c r="E14" s="4">
        <v>96803</v>
      </c>
      <c r="F14" s="3">
        <f t="shared" si="0"/>
        <v>851</v>
      </c>
      <c r="G14" s="3">
        <f t="shared" si="1"/>
        <v>139</v>
      </c>
      <c r="H14" s="3"/>
      <c r="I14" s="6">
        <v>11</v>
      </c>
      <c r="J14" s="4">
        <v>256</v>
      </c>
      <c r="K14" s="4">
        <v>559</v>
      </c>
      <c r="L14" s="3"/>
      <c r="M14" s="4">
        <v>11</v>
      </c>
      <c r="N14" s="4">
        <v>10</v>
      </c>
      <c r="O14" s="4">
        <v>11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3.2" x14ac:dyDescent="0.25">
      <c r="A15" s="4">
        <v>12</v>
      </c>
      <c r="B15" s="3"/>
      <c r="C15" s="3"/>
      <c r="D15" s="4" t="s">
        <v>32</v>
      </c>
      <c r="E15" s="4">
        <v>162195</v>
      </c>
      <c r="F15" s="3">
        <f t="shared" si="0"/>
        <v>1425</v>
      </c>
      <c r="G15" s="3">
        <f t="shared" si="1"/>
        <v>232</v>
      </c>
      <c r="H15" s="3"/>
      <c r="I15" s="4">
        <v>12</v>
      </c>
      <c r="J15" s="4">
        <v>271</v>
      </c>
      <c r="K15" s="4">
        <v>645</v>
      </c>
      <c r="L15" s="3"/>
      <c r="M15" s="4">
        <v>12</v>
      </c>
      <c r="N15" s="4">
        <v>12</v>
      </c>
      <c r="O15" s="4">
        <v>30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3.2" x14ac:dyDescent="0.25">
      <c r="A16" s="4">
        <v>13</v>
      </c>
      <c r="B16" s="3"/>
      <c r="C16" s="3"/>
      <c r="D16" s="4" t="s">
        <v>33</v>
      </c>
      <c r="E16" s="4">
        <v>91236</v>
      </c>
      <c r="F16" s="3">
        <f t="shared" si="0"/>
        <v>802</v>
      </c>
      <c r="G16" s="3">
        <f t="shared" si="1"/>
        <v>131</v>
      </c>
      <c r="H16" s="3"/>
      <c r="I16" s="6">
        <v>13</v>
      </c>
      <c r="J16" s="4">
        <v>327</v>
      </c>
      <c r="K16" s="4">
        <v>489</v>
      </c>
      <c r="L16" s="3"/>
      <c r="M16" s="4">
        <v>13</v>
      </c>
      <c r="N16" s="4">
        <v>4</v>
      </c>
      <c r="O16" s="4">
        <v>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3.2" x14ac:dyDescent="0.25">
      <c r="A17" s="4">
        <v>14</v>
      </c>
      <c r="B17" s="3"/>
      <c r="C17" s="3"/>
      <c r="D17" s="4" t="s">
        <v>34</v>
      </c>
      <c r="E17" s="4">
        <v>59539</v>
      </c>
      <c r="F17" s="3">
        <f t="shared" si="0"/>
        <v>524</v>
      </c>
      <c r="G17" s="3">
        <f t="shared" si="1"/>
        <v>86</v>
      </c>
      <c r="H17" s="3"/>
      <c r="I17" s="4">
        <v>14</v>
      </c>
      <c r="J17" s="4">
        <v>339</v>
      </c>
      <c r="K17" s="4">
        <v>459</v>
      </c>
      <c r="L17" s="3"/>
      <c r="M17" s="4">
        <v>14</v>
      </c>
      <c r="N17" s="4">
        <v>5</v>
      </c>
      <c r="O17" s="4">
        <v>10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3.2" x14ac:dyDescent="0.25">
      <c r="A18" s="4">
        <v>15</v>
      </c>
      <c r="B18" s="3"/>
      <c r="C18" s="4">
        <v>110</v>
      </c>
      <c r="D18" s="4" t="s">
        <v>35</v>
      </c>
      <c r="E18" s="4">
        <v>157611</v>
      </c>
      <c r="F18" s="3">
        <f t="shared" si="0"/>
        <v>1385</v>
      </c>
      <c r="G18" s="3">
        <f t="shared" si="1"/>
        <v>226</v>
      </c>
      <c r="H18" s="3"/>
      <c r="I18" s="6">
        <v>15</v>
      </c>
      <c r="J18" s="4">
        <v>363</v>
      </c>
      <c r="K18" s="4">
        <v>459</v>
      </c>
      <c r="L18" s="3"/>
      <c r="M18" s="4">
        <v>15</v>
      </c>
      <c r="N18" s="4">
        <v>10</v>
      </c>
      <c r="O18" s="4">
        <v>13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6.4" x14ac:dyDescent="0.25">
      <c r="A19" s="4">
        <v>16</v>
      </c>
      <c r="B19" s="3"/>
      <c r="C19" s="3"/>
      <c r="D19" s="4" t="s">
        <v>36</v>
      </c>
      <c r="E19" s="4">
        <v>110154</v>
      </c>
      <c r="F19" s="3">
        <f t="shared" si="0"/>
        <v>968</v>
      </c>
      <c r="G19" s="3">
        <f t="shared" si="1"/>
        <v>158</v>
      </c>
      <c r="H19" s="3"/>
      <c r="I19" s="4">
        <v>16</v>
      </c>
      <c r="J19" s="4">
        <v>490</v>
      </c>
      <c r="K19" s="4">
        <v>328</v>
      </c>
      <c r="L19" s="3"/>
      <c r="M19" s="4">
        <v>16</v>
      </c>
      <c r="N19" s="4">
        <v>3</v>
      </c>
      <c r="O19" s="4">
        <v>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6.4" x14ac:dyDescent="0.25">
      <c r="A20" s="4">
        <v>17</v>
      </c>
      <c r="B20" s="3"/>
      <c r="C20" s="3"/>
      <c r="D20" s="4" t="s">
        <v>37</v>
      </c>
      <c r="E20" s="4">
        <v>183558</v>
      </c>
      <c r="F20" s="3">
        <f t="shared" si="0"/>
        <v>1613</v>
      </c>
      <c r="G20" s="3">
        <f t="shared" si="1"/>
        <v>263</v>
      </c>
      <c r="H20" s="3"/>
      <c r="I20" s="6">
        <v>17</v>
      </c>
      <c r="J20" s="4">
        <v>535</v>
      </c>
      <c r="K20" s="4">
        <v>287</v>
      </c>
      <c r="L20" s="3"/>
      <c r="M20" s="4">
        <v>17</v>
      </c>
      <c r="N20" s="4">
        <v>14</v>
      </c>
      <c r="O20" s="4">
        <v>15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3.2" x14ac:dyDescent="0.25">
      <c r="A21" s="4">
        <v>18</v>
      </c>
      <c r="B21" s="3"/>
      <c r="C21" s="3"/>
      <c r="D21" s="4" t="s">
        <v>38</v>
      </c>
      <c r="E21" s="4">
        <v>183896</v>
      </c>
      <c r="F21" s="3">
        <f t="shared" si="0"/>
        <v>1616</v>
      </c>
      <c r="G21" s="3">
        <f t="shared" si="1"/>
        <v>263</v>
      </c>
      <c r="H21" s="3"/>
      <c r="I21" s="4">
        <v>18</v>
      </c>
      <c r="J21" s="4">
        <v>531</v>
      </c>
      <c r="K21" s="4">
        <v>329</v>
      </c>
      <c r="L21" s="3"/>
      <c r="M21" s="4">
        <v>18</v>
      </c>
      <c r="N21" s="4">
        <v>13</v>
      </c>
      <c r="O21" s="4">
        <v>14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6.4" x14ac:dyDescent="0.25">
      <c r="A22" s="4">
        <v>19</v>
      </c>
      <c r="B22" s="7">
        <v>99100101102</v>
      </c>
      <c r="C22" s="3"/>
      <c r="D22" s="4" t="s">
        <v>39</v>
      </c>
      <c r="E22" s="4">
        <v>176758</v>
      </c>
      <c r="F22" s="3">
        <f t="shared" si="0"/>
        <v>1553</v>
      </c>
      <c r="G22" s="3">
        <f t="shared" si="1"/>
        <v>253</v>
      </c>
      <c r="H22" s="3"/>
      <c r="I22" s="6">
        <v>19</v>
      </c>
      <c r="J22" s="4">
        <v>584</v>
      </c>
      <c r="K22" s="4">
        <v>299</v>
      </c>
      <c r="L22" s="3"/>
      <c r="M22" s="4">
        <v>19</v>
      </c>
      <c r="N22" s="4">
        <v>13</v>
      </c>
      <c r="O22" s="4">
        <v>26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3.2" x14ac:dyDescent="0.25">
      <c r="A23" s="4">
        <v>20</v>
      </c>
      <c r="B23" s="3"/>
      <c r="C23" s="3"/>
      <c r="D23" s="4" t="s">
        <v>40</v>
      </c>
      <c r="E23" s="4">
        <v>52098</v>
      </c>
      <c r="F23" s="3">
        <f t="shared" si="0"/>
        <v>458</v>
      </c>
      <c r="G23" s="3">
        <f t="shared" si="1"/>
        <v>75</v>
      </c>
      <c r="H23" s="3"/>
      <c r="I23" s="4">
        <v>20</v>
      </c>
      <c r="J23" s="4">
        <v>588</v>
      </c>
      <c r="K23" s="4">
        <v>263</v>
      </c>
      <c r="L23" s="3"/>
      <c r="M23" s="4">
        <v>20</v>
      </c>
      <c r="N23" s="4">
        <v>27</v>
      </c>
      <c r="O23" s="4">
        <v>30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3.2" x14ac:dyDescent="0.25">
      <c r="A24" s="4">
        <v>21</v>
      </c>
      <c r="B24" s="3"/>
      <c r="C24" s="4">
        <v>110</v>
      </c>
      <c r="D24" s="4" t="s">
        <v>41</v>
      </c>
      <c r="E24" s="4">
        <v>225377</v>
      </c>
      <c r="F24" s="3">
        <f t="shared" si="0"/>
        <v>1980</v>
      </c>
      <c r="G24" s="3">
        <f t="shared" si="1"/>
        <v>322</v>
      </c>
      <c r="H24" s="3"/>
      <c r="I24" s="6">
        <v>21</v>
      </c>
      <c r="J24" s="4">
        <v>412</v>
      </c>
      <c r="K24" s="4">
        <v>508</v>
      </c>
      <c r="L24" s="3"/>
      <c r="M24" s="4">
        <v>21</v>
      </c>
      <c r="N24" s="4">
        <v>30</v>
      </c>
      <c r="O24" s="4">
        <v>31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3.2" x14ac:dyDescent="0.25">
      <c r="A25" s="4">
        <v>22</v>
      </c>
      <c r="B25" s="3"/>
      <c r="C25" s="4">
        <v>110</v>
      </c>
      <c r="D25" s="4" t="s">
        <v>42</v>
      </c>
      <c r="E25" s="4">
        <v>72481</v>
      </c>
      <c r="F25" s="3">
        <f t="shared" si="0"/>
        <v>637</v>
      </c>
      <c r="G25" s="3">
        <f t="shared" si="1"/>
        <v>104</v>
      </c>
      <c r="H25" s="3"/>
      <c r="I25" s="4">
        <v>22</v>
      </c>
      <c r="J25" s="4">
        <v>443</v>
      </c>
      <c r="K25" s="4">
        <v>523</v>
      </c>
      <c r="L25" s="3"/>
      <c r="M25" s="4">
        <v>22</v>
      </c>
      <c r="N25" s="4">
        <v>115</v>
      </c>
      <c r="O25" s="4">
        <v>116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6.4" x14ac:dyDescent="0.25">
      <c r="A26" s="4">
        <v>23</v>
      </c>
      <c r="B26" s="3"/>
      <c r="C26" s="3"/>
      <c r="D26" s="4" t="s">
        <v>43</v>
      </c>
      <c r="E26" s="4">
        <v>35105</v>
      </c>
      <c r="F26" s="3">
        <f t="shared" si="0"/>
        <v>309</v>
      </c>
      <c r="G26" s="3">
        <f t="shared" si="1"/>
        <v>51</v>
      </c>
      <c r="H26" s="3"/>
      <c r="I26" s="6">
        <v>23</v>
      </c>
      <c r="J26" s="4">
        <v>429</v>
      </c>
      <c r="K26" s="4">
        <v>540</v>
      </c>
      <c r="L26" s="3"/>
      <c r="M26" s="4">
        <v>23</v>
      </c>
      <c r="N26" s="4">
        <v>3</v>
      </c>
      <c r="O26" s="4">
        <v>116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3.2" x14ac:dyDescent="0.25">
      <c r="A27" s="4">
        <v>24</v>
      </c>
      <c r="B27" s="3"/>
      <c r="C27" s="3"/>
      <c r="D27" s="4" t="s">
        <v>44</v>
      </c>
      <c r="E27" s="4">
        <v>235346</v>
      </c>
      <c r="F27" s="3">
        <f t="shared" si="0"/>
        <v>2068</v>
      </c>
      <c r="G27" s="3">
        <f t="shared" si="1"/>
        <v>337</v>
      </c>
      <c r="H27" s="3"/>
      <c r="I27" s="4">
        <v>24</v>
      </c>
      <c r="J27" s="4">
        <v>415</v>
      </c>
      <c r="K27" s="4">
        <v>543</v>
      </c>
      <c r="L27" s="3"/>
      <c r="M27" s="4">
        <v>24</v>
      </c>
      <c r="N27" s="4">
        <v>4</v>
      </c>
      <c r="O27" s="4">
        <v>16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3.2" x14ac:dyDescent="0.25">
      <c r="A28" s="4">
        <v>25</v>
      </c>
      <c r="B28" s="3"/>
      <c r="C28" s="3"/>
      <c r="D28" s="4" t="s">
        <v>45</v>
      </c>
      <c r="E28" s="4">
        <v>39504</v>
      </c>
      <c r="F28" s="3">
        <f t="shared" si="0"/>
        <v>348</v>
      </c>
      <c r="G28" s="3">
        <f t="shared" si="1"/>
        <v>57</v>
      </c>
      <c r="H28" s="3"/>
      <c r="I28" s="6">
        <v>25</v>
      </c>
      <c r="J28" s="4">
        <v>424</v>
      </c>
      <c r="K28" s="4">
        <v>551</v>
      </c>
      <c r="L28" s="3"/>
      <c r="M28" s="4">
        <v>25</v>
      </c>
      <c r="N28" s="4">
        <v>15</v>
      </c>
      <c r="O28" s="4">
        <v>21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6.4" x14ac:dyDescent="0.25">
      <c r="A29" s="4">
        <v>26</v>
      </c>
      <c r="B29" s="3"/>
      <c r="C29" s="3"/>
      <c r="D29" s="4" t="s">
        <v>46</v>
      </c>
      <c r="E29" s="4">
        <v>100574</v>
      </c>
      <c r="F29" s="3">
        <f t="shared" si="0"/>
        <v>884</v>
      </c>
      <c r="G29" s="3">
        <f t="shared" si="1"/>
        <v>144</v>
      </c>
      <c r="H29" s="3"/>
      <c r="I29" s="4">
        <v>26</v>
      </c>
      <c r="J29" s="4">
        <v>385</v>
      </c>
      <c r="K29" s="4">
        <v>544</v>
      </c>
      <c r="L29" s="3"/>
      <c r="M29" s="4">
        <v>26</v>
      </c>
      <c r="N29" s="4">
        <v>24</v>
      </c>
      <c r="O29" s="4">
        <v>26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3.2" x14ac:dyDescent="0.25">
      <c r="A30" s="4">
        <v>27</v>
      </c>
      <c r="B30" s="3"/>
      <c r="C30" s="4">
        <v>111</v>
      </c>
      <c r="D30" s="4" t="s">
        <v>47</v>
      </c>
      <c r="E30" s="4">
        <v>174906</v>
      </c>
      <c r="F30" s="3">
        <f t="shared" si="0"/>
        <v>1537</v>
      </c>
      <c r="G30" s="3">
        <f t="shared" si="1"/>
        <v>250</v>
      </c>
      <c r="H30" s="3"/>
      <c r="I30" s="6">
        <v>27</v>
      </c>
      <c r="J30" s="4">
        <v>389</v>
      </c>
      <c r="K30" s="4">
        <v>577</v>
      </c>
      <c r="L30" s="3"/>
      <c r="M30" s="4">
        <v>27</v>
      </c>
      <c r="N30" s="4">
        <v>26</v>
      </c>
      <c r="O30" s="4">
        <v>27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3.2" x14ac:dyDescent="0.25">
      <c r="A31" s="4">
        <v>28</v>
      </c>
      <c r="B31" s="3"/>
      <c r="C31" s="4">
        <v>111</v>
      </c>
      <c r="D31" s="4" t="s">
        <v>48</v>
      </c>
      <c r="E31" s="4">
        <v>342001</v>
      </c>
      <c r="F31" s="3">
        <f t="shared" si="0"/>
        <v>3005</v>
      </c>
      <c r="G31" s="3">
        <f t="shared" si="1"/>
        <v>489</v>
      </c>
      <c r="H31" s="3"/>
      <c r="I31" s="4">
        <v>28</v>
      </c>
      <c r="J31" s="4">
        <v>407</v>
      </c>
      <c r="K31" s="4">
        <v>583</v>
      </c>
      <c r="L31" s="3"/>
      <c r="M31" s="4">
        <v>28</v>
      </c>
      <c r="N31" s="4">
        <v>27</v>
      </c>
      <c r="O31" s="4">
        <v>28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3.2" x14ac:dyDescent="0.25">
      <c r="A32" s="4">
        <v>29</v>
      </c>
      <c r="B32" s="3"/>
      <c r="C32" s="4">
        <v>111</v>
      </c>
      <c r="D32" s="4" t="s">
        <v>49</v>
      </c>
      <c r="E32" s="4">
        <v>142529</v>
      </c>
      <c r="F32" s="3">
        <f t="shared" si="0"/>
        <v>1253</v>
      </c>
      <c r="G32" s="3">
        <f t="shared" si="1"/>
        <v>204</v>
      </c>
      <c r="H32" s="3"/>
      <c r="I32" s="6">
        <v>29</v>
      </c>
      <c r="J32" s="4">
        <v>424</v>
      </c>
      <c r="K32" s="4">
        <v>574</v>
      </c>
      <c r="L32" s="3"/>
      <c r="M32" s="4">
        <v>29</v>
      </c>
      <c r="N32" s="4">
        <v>16</v>
      </c>
      <c r="O32" s="4">
        <v>116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26.4" x14ac:dyDescent="0.25">
      <c r="A33" s="4">
        <v>30</v>
      </c>
      <c r="B33" s="3"/>
      <c r="C33" s="3"/>
      <c r="D33" s="4" t="s">
        <v>50</v>
      </c>
      <c r="E33" s="4">
        <v>94558</v>
      </c>
      <c r="F33" s="3">
        <f t="shared" si="0"/>
        <v>831</v>
      </c>
      <c r="G33" s="3">
        <f t="shared" si="1"/>
        <v>136</v>
      </c>
      <c r="H33" s="3"/>
      <c r="I33" s="4">
        <v>30</v>
      </c>
      <c r="J33" s="4">
        <v>296</v>
      </c>
      <c r="K33" s="4">
        <v>665</v>
      </c>
      <c r="L33" s="3"/>
      <c r="M33" s="4">
        <v>30</v>
      </c>
      <c r="N33" s="4">
        <v>16</v>
      </c>
      <c r="O33" s="4">
        <v>22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26.4" x14ac:dyDescent="0.25">
      <c r="A34" s="4">
        <v>31</v>
      </c>
      <c r="B34" s="3"/>
      <c r="C34" s="3"/>
      <c r="D34" s="4" t="s">
        <v>51</v>
      </c>
      <c r="E34" s="4">
        <v>294904</v>
      </c>
      <c r="F34" s="3">
        <f t="shared" si="0"/>
        <v>2591</v>
      </c>
      <c r="G34" s="3">
        <f t="shared" si="1"/>
        <v>422</v>
      </c>
      <c r="H34" s="3"/>
      <c r="I34" s="6">
        <v>31</v>
      </c>
      <c r="J34" s="4">
        <v>399</v>
      </c>
      <c r="K34" s="4">
        <v>773</v>
      </c>
      <c r="L34" s="3"/>
      <c r="M34" s="4">
        <v>31</v>
      </c>
      <c r="N34" s="4">
        <v>21</v>
      </c>
      <c r="O34" s="4">
        <v>22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26.4" x14ac:dyDescent="0.25">
      <c r="A35" s="4">
        <v>32</v>
      </c>
      <c r="B35" s="3"/>
      <c r="C35" s="3"/>
      <c r="D35" s="4" t="s">
        <v>52</v>
      </c>
      <c r="E35" s="6">
        <v>148529</v>
      </c>
      <c r="F35" s="3">
        <f t="shared" si="0"/>
        <v>1305</v>
      </c>
      <c r="G35" s="3">
        <f t="shared" si="1"/>
        <v>213</v>
      </c>
      <c r="H35" s="3"/>
      <c r="I35" s="4">
        <v>32</v>
      </c>
      <c r="J35" s="4">
        <v>456</v>
      </c>
      <c r="K35" s="4">
        <v>730</v>
      </c>
      <c r="L35" s="3"/>
      <c r="M35" s="4">
        <v>32</v>
      </c>
      <c r="N35" s="4">
        <v>21</v>
      </c>
      <c r="O35" s="4">
        <v>23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3.2" x14ac:dyDescent="0.25">
      <c r="A36" s="4">
        <v>33</v>
      </c>
      <c r="B36" s="4">
        <v>82</v>
      </c>
      <c r="C36" s="3"/>
      <c r="D36" s="4" t="s">
        <v>53</v>
      </c>
      <c r="E36" s="6">
        <v>12251</v>
      </c>
      <c r="F36" s="3">
        <f t="shared" ref="F36:F67" si="2">ROUNDUP(E36 / SUM($E$4:$E$78) * $F$2, 0)</f>
        <v>108</v>
      </c>
      <c r="G36" s="3">
        <f t="shared" ref="G36:G67" si="3">ROUNDUP(E36 / SUM($E$4:$E$78) * $G$2, 0)</f>
        <v>18</v>
      </c>
      <c r="H36" s="3"/>
      <c r="I36" s="6">
        <v>33</v>
      </c>
      <c r="J36" s="4">
        <v>450</v>
      </c>
      <c r="K36" s="4">
        <v>715</v>
      </c>
      <c r="L36" s="3"/>
      <c r="M36" s="4">
        <v>33</v>
      </c>
      <c r="N36" s="4">
        <v>24</v>
      </c>
      <c r="O36" s="4">
        <v>25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3.2" x14ac:dyDescent="0.25">
      <c r="A37" s="4">
        <v>34</v>
      </c>
      <c r="B37" s="3"/>
      <c r="C37" s="3"/>
      <c r="D37" s="4" t="s">
        <v>54</v>
      </c>
      <c r="E37" s="6">
        <v>5028</v>
      </c>
      <c r="F37" s="3">
        <f t="shared" si="2"/>
        <v>45</v>
      </c>
      <c r="G37" s="3">
        <f t="shared" si="3"/>
        <v>8</v>
      </c>
      <c r="H37" s="3"/>
      <c r="I37" s="4">
        <v>34</v>
      </c>
      <c r="J37" s="4">
        <v>467</v>
      </c>
      <c r="K37" s="4">
        <v>718</v>
      </c>
      <c r="L37" s="3"/>
      <c r="M37" s="4">
        <v>34</v>
      </c>
      <c r="N37" s="4">
        <v>28</v>
      </c>
      <c r="O37" s="4">
        <v>29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3.2" x14ac:dyDescent="0.25">
      <c r="A38" s="4">
        <v>35</v>
      </c>
      <c r="B38" s="3"/>
      <c r="C38" s="3"/>
      <c r="D38" s="4" t="s">
        <v>55</v>
      </c>
      <c r="E38" s="4">
        <v>62688</v>
      </c>
      <c r="F38" s="3">
        <f t="shared" si="2"/>
        <v>551</v>
      </c>
      <c r="G38" s="3">
        <f t="shared" si="3"/>
        <v>90</v>
      </c>
      <c r="H38" s="3"/>
      <c r="I38" s="6">
        <v>35</v>
      </c>
      <c r="J38" s="4">
        <v>557</v>
      </c>
      <c r="K38" s="4">
        <v>596</v>
      </c>
      <c r="L38" s="3"/>
      <c r="M38" s="4">
        <v>35</v>
      </c>
      <c r="N38" s="4">
        <v>28</v>
      </c>
      <c r="O38" s="4">
        <v>33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26.4" x14ac:dyDescent="0.25">
      <c r="A39" s="4">
        <v>36</v>
      </c>
      <c r="B39" s="4" t="s">
        <v>56</v>
      </c>
      <c r="C39" s="4">
        <v>107</v>
      </c>
      <c r="D39" s="4" t="s">
        <v>57</v>
      </c>
      <c r="E39" s="6">
        <v>419786</v>
      </c>
      <c r="F39" s="3">
        <f t="shared" si="2"/>
        <v>3688</v>
      </c>
      <c r="G39" s="3">
        <f t="shared" si="3"/>
        <v>600</v>
      </c>
      <c r="H39" s="3"/>
      <c r="I39" s="4">
        <v>36</v>
      </c>
      <c r="J39" s="4">
        <v>585</v>
      </c>
      <c r="K39" s="4">
        <v>564</v>
      </c>
      <c r="L39" s="3"/>
      <c r="M39" s="4">
        <v>36</v>
      </c>
      <c r="N39" s="4">
        <v>31</v>
      </c>
      <c r="O39" s="4">
        <v>32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3.2" x14ac:dyDescent="0.25">
      <c r="A40" s="4">
        <v>37</v>
      </c>
      <c r="B40" s="3"/>
      <c r="C40" s="3"/>
      <c r="D40" s="4" t="s">
        <v>58</v>
      </c>
      <c r="E40" s="6">
        <v>40436</v>
      </c>
      <c r="F40" s="3">
        <f t="shared" si="2"/>
        <v>356</v>
      </c>
      <c r="G40" s="3">
        <f t="shared" si="3"/>
        <v>58</v>
      </c>
      <c r="H40" s="3"/>
      <c r="I40" s="6">
        <v>37</v>
      </c>
      <c r="J40" s="4">
        <v>538</v>
      </c>
      <c r="K40" s="4">
        <v>734</v>
      </c>
      <c r="L40" s="3"/>
      <c r="M40" s="4">
        <v>37</v>
      </c>
      <c r="N40" s="4">
        <v>17</v>
      </c>
      <c r="O40" s="4">
        <v>116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26.4" x14ac:dyDescent="0.25">
      <c r="A41" s="4">
        <v>38</v>
      </c>
      <c r="B41" s="3"/>
      <c r="C41" s="4">
        <v>111</v>
      </c>
      <c r="D41" s="4" t="s">
        <v>59</v>
      </c>
      <c r="E41" s="6">
        <v>311959</v>
      </c>
      <c r="F41" s="3">
        <f t="shared" si="2"/>
        <v>2741</v>
      </c>
      <c r="G41" s="3">
        <f t="shared" si="3"/>
        <v>446</v>
      </c>
      <c r="H41" s="3"/>
      <c r="I41" s="4">
        <v>38</v>
      </c>
      <c r="J41" s="4">
        <v>566</v>
      </c>
      <c r="K41" s="4">
        <v>693</v>
      </c>
      <c r="L41" s="3"/>
      <c r="M41" s="4">
        <v>38</v>
      </c>
      <c r="N41" s="4">
        <v>16</v>
      </c>
      <c r="O41" s="4">
        <v>18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3.2" x14ac:dyDescent="0.25">
      <c r="A42" s="4">
        <v>39</v>
      </c>
      <c r="B42" s="3"/>
      <c r="C42" s="3"/>
      <c r="D42" s="4" t="s">
        <v>60</v>
      </c>
      <c r="E42" s="6">
        <v>64195</v>
      </c>
      <c r="F42" s="3">
        <f t="shared" si="2"/>
        <v>564</v>
      </c>
      <c r="G42" s="3">
        <f t="shared" si="3"/>
        <v>92</v>
      </c>
      <c r="H42" s="3"/>
      <c r="I42" s="6">
        <v>39</v>
      </c>
      <c r="J42" s="4">
        <v>625</v>
      </c>
      <c r="K42" s="4">
        <v>641</v>
      </c>
      <c r="L42" s="3"/>
      <c r="M42" s="4">
        <v>39</v>
      </c>
      <c r="N42" s="4">
        <v>22</v>
      </c>
      <c r="O42" s="4">
        <v>23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3.2" x14ac:dyDescent="0.25">
      <c r="A43" s="4">
        <v>40</v>
      </c>
      <c r="B43" s="3"/>
      <c r="C43" s="3"/>
      <c r="D43" s="4" t="s">
        <v>61</v>
      </c>
      <c r="E43" s="6">
        <v>36794</v>
      </c>
      <c r="F43" s="3">
        <f t="shared" si="2"/>
        <v>324</v>
      </c>
      <c r="G43" s="3">
        <f t="shared" si="3"/>
        <v>53</v>
      </c>
      <c r="H43" s="3"/>
      <c r="I43" s="4">
        <v>40</v>
      </c>
      <c r="J43" s="4">
        <v>630</v>
      </c>
      <c r="K43" s="4">
        <v>526</v>
      </c>
      <c r="L43" s="3"/>
      <c r="M43" s="4">
        <v>40</v>
      </c>
      <c r="N43" s="4">
        <v>23</v>
      </c>
      <c r="O43" s="4">
        <v>25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3.2" x14ac:dyDescent="0.25">
      <c r="A44" s="4">
        <v>41</v>
      </c>
      <c r="B44" s="3"/>
      <c r="C44" s="3"/>
      <c r="D44" s="4" t="s">
        <v>62</v>
      </c>
      <c r="E44" s="6">
        <v>142864</v>
      </c>
      <c r="F44" s="3">
        <f t="shared" si="2"/>
        <v>1256</v>
      </c>
      <c r="G44" s="3">
        <f t="shared" si="3"/>
        <v>205</v>
      </c>
      <c r="H44" s="3"/>
      <c r="I44" s="6">
        <v>41</v>
      </c>
      <c r="J44" s="4">
        <v>634</v>
      </c>
      <c r="K44" s="4">
        <v>461</v>
      </c>
      <c r="L44" s="3"/>
      <c r="M44" s="4">
        <v>41</v>
      </c>
      <c r="N44" s="4">
        <v>25</v>
      </c>
      <c r="O44" s="4">
        <v>29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26.4" x14ac:dyDescent="0.25">
      <c r="A45" s="4">
        <v>42</v>
      </c>
      <c r="B45" s="3"/>
      <c r="C45" s="3"/>
      <c r="D45" s="4" t="s">
        <v>63</v>
      </c>
      <c r="E45" s="6">
        <v>44561</v>
      </c>
      <c r="F45" s="3">
        <f t="shared" si="2"/>
        <v>392</v>
      </c>
      <c r="G45" s="3">
        <f t="shared" si="3"/>
        <v>64</v>
      </c>
      <c r="H45" s="3"/>
      <c r="I45" s="4">
        <v>42</v>
      </c>
      <c r="J45" s="4">
        <v>641</v>
      </c>
      <c r="K45" s="4">
        <v>432</v>
      </c>
      <c r="L45" s="3"/>
      <c r="M45" s="4">
        <v>42</v>
      </c>
      <c r="N45" s="4">
        <v>32</v>
      </c>
      <c r="O45" s="4">
        <v>33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3.2" x14ac:dyDescent="0.25">
      <c r="A46" s="4">
        <v>43</v>
      </c>
      <c r="B46" s="4" t="s">
        <v>64</v>
      </c>
      <c r="C46" s="3"/>
      <c r="D46" s="4" t="s">
        <v>65</v>
      </c>
      <c r="E46" s="4">
        <v>93820</v>
      </c>
      <c r="F46" s="3">
        <f t="shared" si="2"/>
        <v>825</v>
      </c>
      <c r="G46" s="3">
        <f t="shared" si="3"/>
        <v>135</v>
      </c>
      <c r="H46" s="3"/>
      <c r="I46" s="6">
        <v>43</v>
      </c>
      <c r="J46" s="4">
        <v>636</v>
      </c>
      <c r="K46" s="4">
        <v>370</v>
      </c>
      <c r="L46" s="3"/>
      <c r="M46" s="4">
        <v>43</v>
      </c>
      <c r="N46" s="4">
        <v>17</v>
      </c>
      <c r="O46" s="4">
        <v>18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3.2" x14ac:dyDescent="0.25">
      <c r="A47" s="4">
        <v>44</v>
      </c>
      <c r="B47" s="3"/>
      <c r="C47" s="4">
        <v>106</v>
      </c>
      <c r="D47" s="4" t="s">
        <v>66</v>
      </c>
      <c r="E47" s="6">
        <v>305107</v>
      </c>
      <c r="F47" s="3">
        <f t="shared" si="2"/>
        <v>2681</v>
      </c>
      <c r="G47" s="3">
        <f t="shared" si="3"/>
        <v>436</v>
      </c>
      <c r="H47" s="3"/>
      <c r="I47" s="4">
        <v>44</v>
      </c>
      <c r="J47" s="4">
        <v>607</v>
      </c>
      <c r="K47" s="4">
        <v>355</v>
      </c>
      <c r="L47" s="3"/>
      <c r="M47" s="4">
        <v>44</v>
      </c>
      <c r="N47" s="4">
        <v>22</v>
      </c>
      <c r="O47" s="4">
        <v>36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3.2" x14ac:dyDescent="0.25">
      <c r="A48" s="4">
        <v>45</v>
      </c>
      <c r="B48" s="4">
        <v>105</v>
      </c>
      <c r="C48" s="4">
        <v>106</v>
      </c>
      <c r="D48" s="4">
        <v>67</v>
      </c>
      <c r="E48" s="6">
        <v>328109</v>
      </c>
      <c r="F48" s="3">
        <f t="shared" si="2"/>
        <v>2883</v>
      </c>
      <c r="G48" s="3">
        <f t="shared" si="3"/>
        <v>469</v>
      </c>
      <c r="H48" s="3"/>
      <c r="I48" s="6">
        <v>45</v>
      </c>
      <c r="J48" s="4">
        <v>645</v>
      </c>
      <c r="K48" s="4">
        <v>324</v>
      </c>
      <c r="L48" s="3"/>
      <c r="M48" s="4">
        <v>45</v>
      </c>
      <c r="N48" s="4">
        <v>29</v>
      </c>
      <c r="O48" s="4">
        <v>35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26.4" x14ac:dyDescent="0.25">
      <c r="A49" s="4">
        <v>46</v>
      </c>
      <c r="B49" s="3"/>
      <c r="C49" s="3"/>
      <c r="D49" s="4" t="s">
        <v>67</v>
      </c>
      <c r="E49" s="6">
        <v>202267</v>
      </c>
      <c r="F49" s="3">
        <f t="shared" si="2"/>
        <v>1777</v>
      </c>
      <c r="G49" s="3">
        <f t="shared" si="3"/>
        <v>289</v>
      </c>
      <c r="H49" s="3"/>
      <c r="I49" s="4">
        <v>46</v>
      </c>
      <c r="J49" s="4">
        <v>677</v>
      </c>
      <c r="K49" s="4">
        <v>337</v>
      </c>
      <c r="L49" s="3"/>
      <c r="M49" s="4">
        <v>46</v>
      </c>
      <c r="N49" s="4">
        <v>33</v>
      </c>
      <c r="O49" s="4">
        <v>34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26.4" x14ac:dyDescent="0.25">
      <c r="A50" s="4">
        <v>47</v>
      </c>
      <c r="B50" s="3"/>
      <c r="C50" s="3"/>
      <c r="D50" s="4" t="s">
        <v>68</v>
      </c>
      <c r="E50" s="6">
        <v>175304</v>
      </c>
      <c r="F50" s="3">
        <f t="shared" si="2"/>
        <v>1541</v>
      </c>
      <c r="G50" s="3">
        <f t="shared" si="3"/>
        <v>251</v>
      </c>
      <c r="H50" s="3"/>
      <c r="I50" s="6">
        <v>47</v>
      </c>
      <c r="J50" s="4">
        <v>748</v>
      </c>
      <c r="K50" s="4">
        <v>400</v>
      </c>
      <c r="L50" s="3"/>
      <c r="M50" s="4">
        <v>47</v>
      </c>
      <c r="N50" s="4">
        <v>32</v>
      </c>
      <c r="O50" s="4">
        <v>34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3.2" x14ac:dyDescent="0.25">
      <c r="A51" s="4">
        <v>48</v>
      </c>
      <c r="B51" s="3"/>
      <c r="C51" s="3"/>
      <c r="D51" s="4" t="s">
        <v>69</v>
      </c>
      <c r="E51" s="6">
        <v>23354</v>
      </c>
      <c r="F51" s="3">
        <f t="shared" si="2"/>
        <v>206</v>
      </c>
      <c r="G51" s="3">
        <f t="shared" si="3"/>
        <v>34</v>
      </c>
      <c r="H51" s="3"/>
      <c r="I51" s="4">
        <v>48</v>
      </c>
      <c r="J51" s="4">
        <v>726</v>
      </c>
      <c r="K51" s="4">
        <v>446</v>
      </c>
      <c r="L51" s="3"/>
      <c r="M51" s="4">
        <v>48</v>
      </c>
      <c r="N51" s="4">
        <v>17</v>
      </c>
      <c r="O51" s="4">
        <v>19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3.2" x14ac:dyDescent="0.25">
      <c r="A52" s="4">
        <v>49</v>
      </c>
      <c r="B52" s="3"/>
      <c r="C52" s="4">
        <v>112</v>
      </c>
      <c r="D52" s="4" t="s">
        <v>70</v>
      </c>
      <c r="E52" s="6">
        <v>103244</v>
      </c>
      <c r="F52" s="3">
        <f t="shared" si="2"/>
        <v>907</v>
      </c>
      <c r="G52" s="3">
        <f t="shared" si="3"/>
        <v>148</v>
      </c>
      <c r="H52" s="3"/>
      <c r="I52" s="6">
        <v>49</v>
      </c>
      <c r="J52" s="4">
        <v>745</v>
      </c>
      <c r="K52" s="4">
        <v>523</v>
      </c>
      <c r="L52" s="3"/>
      <c r="M52" s="4">
        <v>49</v>
      </c>
      <c r="N52" s="4">
        <v>18</v>
      </c>
      <c r="O52" s="4">
        <v>44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3.2" x14ac:dyDescent="0.25">
      <c r="A53" s="4">
        <v>50</v>
      </c>
      <c r="B53" s="3"/>
      <c r="C53" s="4">
        <v>112</v>
      </c>
      <c r="D53" s="4" t="s">
        <v>71</v>
      </c>
      <c r="E53" s="6">
        <v>41845</v>
      </c>
      <c r="F53" s="3">
        <f t="shared" si="2"/>
        <v>368</v>
      </c>
      <c r="G53" s="3">
        <f t="shared" si="3"/>
        <v>60</v>
      </c>
      <c r="H53" s="3"/>
      <c r="I53" s="4">
        <v>50</v>
      </c>
      <c r="J53" s="4">
        <v>672</v>
      </c>
      <c r="K53" s="4">
        <v>657</v>
      </c>
      <c r="L53" s="3"/>
      <c r="M53" s="4">
        <v>50</v>
      </c>
      <c r="N53" s="4">
        <v>35</v>
      </c>
      <c r="O53" s="4">
        <v>36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3.2" x14ac:dyDescent="0.25">
      <c r="A54" s="4">
        <v>51</v>
      </c>
      <c r="B54" s="3"/>
      <c r="C54" s="4">
        <v>112</v>
      </c>
      <c r="D54" s="4" t="s">
        <v>72</v>
      </c>
      <c r="E54" s="6">
        <v>67823</v>
      </c>
      <c r="F54" s="3">
        <f t="shared" si="2"/>
        <v>596</v>
      </c>
      <c r="G54" s="3">
        <f t="shared" si="3"/>
        <v>97</v>
      </c>
      <c r="H54" s="3"/>
      <c r="I54" s="6">
        <v>51</v>
      </c>
      <c r="J54" s="4">
        <v>703</v>
      </c>
      <c r="K54" s="4">
        <v>658</v>
      </c>
      <c r="L54" s="3"/>
      <c r="M54" s="4">
        <v>51</v>
      </c>
      <c r="N54" s="4">
        <v>34</v>
      </c>
      <c r="O54" s="4">
        <v>35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3.2" x14ac:dyDescent="0.25">
      <c r="A55" s="4">
        <v>52</v>
      </c>
      <c r="B55" s="3"/>
      <c r="C55" s="4">
        <v>113</v>
      </c>
      <c r="D55" s="4" t="s">
        <v>73</v>
      </c>
      <c r="E55" s="6">
        <v>21821</v>
      </c>
      <c r="F55" s="3">
        <f t="shared" si="2"/>
        <v>192</v>
      </c>
      <c r="G55" s="3">
        <f t="shared" si="3"/>
        <v>32</v>
      </c>
      <c r="H55" s="3"/>
      <c r="I55" s="4">
        <v>52</v>
      </c>
      <c r="J55" s="4">
        <v>692</v>
      </c>
      <c r="K55" s="4">
        <v>672</v>
      </c>
      <c r="L55" s="3"/>
      <c r="M55" s="4">
        <v>52</v>
      </c>
      <c r="N55" s="4">
        <v>32</v>
      </c>
      <c r="O55" s="4">
        <v>37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3.2" x14ac:dyDescent="0.25">
      <c r="A56" s="4">
        <v>53</v>
      </c>
      <c r="B56" s="4">
        <v>81</v>
      </c>
      <c r="C56" s="4">
        <v>113</v>
      </c>
      <c r="D56" s="4" t="s">
        <v>74</v>
      </c>
      <c r="E56" s="6">
        <v>79524</v>
      </c>
      <c r="F56" s="3">
        <f t="shared" si="2"/>
        <v>699</v>
      </c>
      <c r="G56" s="3">
        <f t="shared" si="3"/>
        <v>114</v>
      </c>
      <c r="H56" s="3"/>
      <c r="I56" s="6">
        <v>53</v>
      </c>
      <c r="J56" s="4">
        <v>668</v>
      </c>
      <c r="K56" s="4">
        <v>757</v>
      </c>
      <c r="L56" s="3"/>
      <c r="M56" s="4">
        <v>53</v>
      </c>
      <c r="N56" s="4">
        <v>19</v>
      </c>
      <c r="O56" s="4">
        <v>20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3.2" x14ac:dyDescent="0.25">
      <c r="A57" s="4">
        <v>54</v>
      </c>
      <c r="B57" s="4">
        <v>81</v>
      </c>
      <c r="C57" s="4">
        <v>113</v>
      </c>
      <c r="D57" s="4" t="s">
        <v>75</v>
      </c>
      <c r="E57" s="6">
        <v>130685</v>
      </c>
      <c r="F57" s="3">
        <f t="shared" si="2"/>
        <v>1149</v>
      </c>
      <c r="G57" s="3">
        <f t="shared" si="3"/>
        <v>187</v>
      </c>
      <c r="H57" s="3"/>
      <c r="I57" s="4">
        <v>54</v>
      </c>
      <c r="J57" s="6">
        <v>755</v>
      </c>
      <c r="K57" s="6">
        <v>698</v>
      </c>
      <c r="L57" s="3"/>
      <c r="M57" s="4">
        <v>54</v>
      </c>
      <c r="N57" s="4">
        <v>19</v>
      </c>
      <c r="O57" s="4">
        <v>45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3.2" x14ac:dyDescent="0.25">
      <c r="A58" s="4">
        <v>55</v>
      </c>
      <c r="B58" s="4">
        <v>70</v>
      </c>
      <c r="C58" s="3"/>
      <c r="D58" s="4" t="s">
        <v>76</v>
      </c>
      <c r="E58" s="6">
        <v>47077</v>
      </c>
      <c r="F58" s="3">
        <f t="shared" si="2"/>
        <v>414</v>
      </c>
      <c r="G58" s="3">
        <f t="shared" si="3"/>
        <v>68</v>
      </c>
      <c r="H58" s="3"/>
      <c r="I58" s="6">
        <v>55</v>
      </c>
      <c r="J58" s="6">
        <v>855</v>
      </c>
      <c r="K58" s="6">
        <v>669</v>
      </c>
      <c r="L58" s="3"/>
      <c r="M58" s="4">
        <v>55</v>
      </c>
      <c r="N58" s="4">
        <v>44</v>
      </c>
      <c r="O58" s="4">
        <v>45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3.2" x14ac:dyDescent="0.25">
      <c r="A59" s="4">
        <v>56</v>
      </c>
      <c r="B59" s="4"/>
      <c r="C59" s="3"/>
      <c r="D59" s="4" t="s">
        <v>77</v>
      </c>
      <c r="E59" s="6">
        <v>281433</v>
      </c>
      <c r="F59" s="3">
        <f t="shared" si="2"/>
        <v>2473</v>
      </c>
      <c r="G59" s="3">
        <f t="shared" si="3"/>
        <v>403</v>
      </c>
      <c r="H59" s="3"/>
      <c r="I59" s="4">
        <v>56</v>
      </c>
      <c r="J59" s="6">
        <v>831</v>
      </c>
      <c r="K59" s="6">
        <v>632</v>
      </c>
      <c r="L59" s="3"/>
      <c r="M59" s="4">
        <v>56</v>
      </c>
      <c r="N59" s="4">
        <v>43</v>
      </c>
      <c r="O59" s="4">
        <v>44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3.2" x14ac:dyDescent="0.25">
      <c r="A60" s="4">
        <v>57</v>
      </c>
      <c r="B60" s="3"/>
      <c r="C60" s="4">
        <v>106</v>
      </c>
      <c r="D60" s="4">
        <v>66</v>
      </c>
      <c r="E60" s="6">
        <v>245368</v>
      </c>
      <c r="F60" s="3">
        <f t="shared" si="2"/>
        <v>2156</v>
      </c>
      <c r="G60" s="3">
        <f t="shared" si="3"/>
        <v>351</v>
      </c>
      <c r="H60" s="3"/>
      <c r="I60" s="6">
        <v>57</v>
      </c>
      <c r="J60" s="6">
        <v>763</v>
      </c>
      <c r="K60" s="6">
        <v>578</v>
      </c>
      <c r="L60" s="3"/>
      <c r="M60" s="4">
        <v>57</v>
      </c>
      <c r="N60" s="4">
        <v>42</v>
      </c>
      <c r="O60" s="4">
        <v>43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3.2" x14ac:dyDescent="0.25">
      <c r="A61" s="4">
        <v>58</v>
      </c>
      <c r="B61" s="3"/>
      <c r="C61" s="4">
        <v>107</v>
      </c>
      <c r="D61" s="4" t="s">
        <v>78</v>
      </c>
      <c r="E61" s="6">
        <v>527917</v>
      </c>
      <c r="F61" s="3">
        <f t="shared" si="2"/>
        <v>4638</v>
      </c>
      <c r="G61" s="3">
        <f t="shared" si="3"/>
        <v>755</v>
      </c>
      <c r="H61" s="3"/>
      <c r="I61" s="4">
        <v>58</v>
      </c>
      <c r="J61" s="4">
        <v>881</v>
      </c>
      <c r="K61" s="4">
        <v>582</v>
      </c>
      <c r="L61" s="3"/>
      <c r="M61" s="4">
        <v>58</v>
      </c>
      <c r="N61" s="4">
        <v>41</v>
      </c>
      <c r="O61" s="4">
        <v>42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26.4" x14ac:dyDescent="0.25">
      <c r="A62" s="4">
        <v>59</v>
      </c>
      <c r="B62" s="3"/>
      <c r="C62" s="3"/>
      <c r="D62" s="4" t="s">
        <v>79</v>
      </c>
      <c r="E62" s="6">
        <v>205113</v>
      </c>
      <c r="F62" s="3">
        <f t="shared" si="2"/>
        <v>1802</v>
      </c>
      <c r="G62" s="3">
        <f t="shared" si="3"/>
        <v>294</v>
      </c>
      <c r="H62" s="3"/>
      <c r="I62" s="6">
        <v>59</v>
      </c>
      <c r="J62" s="4">
        <v>788</v>
      </c>
      <c r="K62" s="4">
        <v>535</v>
      </c>
      <c r="L62" s="3"/>
      <c r="M62" s="4">
        <v>59</v>
      </c>
      <c r="N62" s="4">
        <v>40</v>
      </c>
      <c r="O62" s="4">
        <v>41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3.2" x14ac:dyDescent="0.25">
      <c r="A63" s="4">
        <v>60</v>
      </c>
      <c r="B63" s="3"/>
      <c r="C63" s="4">
        <v>112</v>
      </c>
      <c r="D63" s="4" t="s">
        <v>80</v>
      </c>
      <c r="E63" s="6">
        <v>196633</v>
      </c>
      <c r="F63" s="3">
        <f t="shared" si="2"/>
        <v>1728</v>
      </c>
      <c r="G63" s="3">
        <f t="shared" si="3"/>
        <v>281</v>
      </c>
      <c r="H63" s="3"/>
      <c r="I63" s="4">
        <v>60</v>
      </c>
      <c r="J63" s="4">
        <v>806</v>
      </c>
      <c r="K63" s="4">
        <v>517</v>
      </c>
      <c r="L63" s="3"/>
      <c r="M63" s="4">
        <v>60</v>
      </c>
      <c r="N63" s="4">
        <v>36</v>
      </c>
      <c r="O63" s="4">
        <v>40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3.2" x14ac:dyDescent="0.25">
      <c r="A64" s="4">
        <v>61</v>
      </c>
      <c r="B64" s="3"/>
      <c r="C64" s="3"/>
      <c r="D64" s="4" t="s">
        <v>81</v>
      </c>
      <c r="E64" s="6">
        <v>6391</v>
      </c>
      <c r="F64" s="3">
        <f t="shared" si="2"/>
        <v>57</v>
      </c>
      <c r="G64" s="3">
        <f t="shared" si="3"/>
        <v>10</v>
      </c>
      <c r="H64" s="3"/>
      <c r="I64" s="6">
        <v>61</v>
      </c>
      <c r="J64" s="4">
        <v>834</v>
      </c>
      <c r="K64" s="4">
        <v>470</v>
      </c>
      <c r="L64" s="3"/>
      <c r="M64" s="4">
        <v>61</v>
      </c>
      <c r="N64" s="4">
        <v>35</v>
      </c>
      <c r="O64" s="4">
        <v>39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3.2" x14ac:dyDescent="0.25">
      <c r="A65" s="4">
        <v>62</v>
      </c>
      <c r="B65" s="4">
        <v>80</v>
      </c>
      <c r="C65" s="3"/>
      <c r="D65" s="4" t="s">
        <v>82</v>
      </c>
      <c r="E65" s="6">
        <v>108587</v>
      </c>
      <c r="F65" s="3">
        <f t="shared" si="2"/>
        <v>954</v>
      </c>
      <c r="G65" s="3">
        <f t="shared" si="3"/>
        <v>156</v>
      </c>
      <c r="H65" s="3"/>
      <c r="I65" s="4">
        <v>62</v>
      </c>
      <c r="J65" s="4">
        <v>910</v>
      </c>
      <c r="K65" s="4">
        <v>545</v>
      </c>
      <c r="L65" s="3"/>
      <c r="M65" s="4">
        <v>62</v>
      </c>
      <c r="N65" s="4">
        <v>38</v>
      </c>
      <c r="O65" s="4">
        <v>39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3.2" x14ac:dyDescent="0.25">
      <c r="A66" s="4">
        <v>63</v>
      </c>
      <c r="B66" s="4"/>
      <c r="D66" s="4" t="s">
        <v>83</v>
      </c>
      <c r="E66" s="6">
        <v>169475</v>
      </c>
      <c r="F66" s="3">
        <f t="shared" si="2"/>
        <v>1489</v>
      </c>
      <c r="G66" s="3">
        <f t="shared" si="3"/>
        <v>243</v>
      </c>
      <c r="H66" s="3"/>
      <c r="I66" s="6">
        <v>63</v>
      </c>
      <c r="J66" s="4">
        <v>968</v>
      </c>
      <c r="K66" s="4">
        <v>404</v>
      </c>
      <c r="L66" s="3"/>
      <c r="M66" s="4">
        <v>63</v>
      </c>
      <c r="N66" s="4">
        <v>37</v>
      </c>
      <c r="O66" s="4">
        <v>38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3.2" x14ac:dyDescent="0.25">
      <c r="A67" s="4">
        <v>64</v>
      </c>
      <c r="B67" s="3"/>
      <c r="C67" s="4">
        <v>107</v>
      </c>
      <c r="D67" s="4" t="s">
        <v>84</v>
      </c>
      <c r="E67" s="6">
        <v>202770</v>
      </c>
      <c r="F67" s="3">
        <f t="shared" si="2"/>
        <v>1782</v>
      </c>
      <c r="G67" s="3">
        <f t="shared" si="3"/>
        <v>290</v>
      </c>
      <c r="H67" s="3"/>
      <c r="I67" s="4">
        <v>64</v>
      </c>
      <c r="J67" s="4">
        <v>878</v>
      </c>
      <c r="K67" s="4">
        <v>398</v>
      </c>
      <c r="L67" s="3"/>
      <c r="M67" s="4">
        <v>64</v>
      </c>
      <c r="N67" s="4">
        <v>20</v>
      </c>
      <c r="O67" s="4">
        <v>46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3.2" x14ac:dyDescent="0.25">
      <c r="A68" s="4">
        <v>65</v>
      </c>
      <c r="B68" s="4" t="s">
        <v>85</v>
      </c>
      <c r="C68" s="3"/>
      <c r="D68" s="4" t="s">
        <v>86</v>
      </c>
      <c r="E68" s="6">
        <v>245691</v>
      </c>
      <c r="F68" s="3">
        <f t="shared" ref="F68:F78" si="4">ROUNDUP(E68 / SUM($E$4:$E$78) * $F$2, 0)</f>
        <v>2159</v>
      </c>
      <c r="G68" s="3">
        <f t="shared" ref="G68:G78" si="5">ROUNDUP(E68 / SUM($E$4:$E$78) * $G$2, 0)</f>
        <v>352</v>
      </c>
      <c r="H68" s="4" t="s">
        <v>21</v>
      </c>
      <c r="I68" s="6">
        <v>65</v>
      </c>
      <c r="J68" s="4">
        <v>910</v>
      </c>
      <c r="K68" s="4">
        <v>294</v>
      </c>
      <c r="L68" s="3"/>
      <c r="M68" s="4">
        <v>65</v>
      </c>
      <c r="N68" s="4">
        <v>45</v>
      </c>
      <c r="O68" s="4">
        <v>46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3.2" x14ac:dyDescent="0.25">
      <c r="A69" s="4">
        <v>66</v>
      </c>
      <c r="B69" s="3"/>
      <c r="C69" s="3"/>
      <c r="D69" s="4" t="s">
        <v>87</v>
      </c>
      <c r="E69" s="6">
        <v>268184</v>
      </c>
      <c r="F69" s="3">
        <f t="shared" si="4"/>
        <v>2356</v>
      </c>
      <c r="G69" s="3">
        <f t="shared" si="5"/>
        <v>384</v>
      </c>
      <c r="H69" s="3"/>
      <c r="I69" s="4">
        <v>66</v>
      </c>
      <c r="J69" s="4">
        <v>933</v>
      </c>
      <c r="K69" s="4">
        <v>202</v>
      </c>
      <c r="L69" s="3"/>
      <c r="M69" s="4">
        <v>66</v>
      </c>
      <c r="N69" s="4">
        <v>43</v>
      </c>
      <c r="O69" s="4">
        <v>46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3.2" x14ac:dyDescent="0.25">
      <c r="A70" s="4">
        <v>67</v>
      </c>
      <c r="B70" s="3"/>
      <c r="C70" s="3"/>
      <c r="D70" s="4" t="s">
        <v>88</v>
      </c>
      <c r="E70" s="6">
        <v>122334</v>
      </c>
      <c r="F70" s="3">
        <f t="shared" si="4"/>
        <v>1075</v>
      </c>
      <c r="G70" s="3">
        <f t="shared" si="5"/>
        <v>175</v>
      </c>
      <c r="H70" s="3"/>
      <c r="I70" s="6">
        <v>67</v>
      </c>
      <c r="J70" s="4">
        <v>749</v>
      </c>
      <c r="K70" s="4">
        <v>63</v>
      </c>
      <c r="L70" s="3"/>
      <c r="M70" s="4">
        <v>67</v>
      </c>
      <c r="N70" s="4">
        <v>41</v>
      </c>
      <c r="O70" s="4">
        <v>69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26.4" x14ac:dyDescent="0.25">
      <c r="A71" s="4">
        <v>68</v>
      </c>
      <c r="B71" s="3"/>
      <c r="C71" s="3"/>
      <c r="D71" s="4" t="s">
        <v>89</v>
      </c>
      <c r="E71" s="6">
        <v>166264</v>
      </c>
      <c r="F71" s="3">
        <f t="shared" si="4"/>
        <v>1461</v>
      </c>
      <c r="G71" s="3">
        <f t="shared" si="5"/>
        <v>238</v>
      </c>
      <c r="H71" s="3"/>
      <c r="I71" s="4">
        <v>68</v>
      </c>
      <c r="J71" s="4">
        <v>953</v>
      </c>
      <c r="K71" s="4">
        <v>20</v>
      </c>
      <c r="L71" s="3"/>
      <c r="M71" s="4">
        <v>68</v>
      </c>
      <c r="N71" s="4">
        <v>40</v>
      </c>
      <c r="O71" s="4">
        <v>69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26.4" x14ac:dyDescent="0.25">
      <c r="A72" s="4">
        <v>69</v>
      </c>
      <c r="B72" s="3"/>
      <c r="C72" s="3"/>
      <c r="D72" s="4" t="s">
        <v>90</v>
      </c>
      <c r="E72" s="6">
        <v>198504</v>
      </c>
      <c r="F72" s="3">
        <f t="shared" si="4"/>
        <v>1744</v>
      </c>
      <c r="G72" s="3">
        <f t="shared" si="5"/>
        <v>284</v>
      </c>
      <c r="H72" s="3"/>
      <c r="I72" s="6">
        <v>69</v>
      </c>
      <c r="J72" s="4">
        <v>659</v>
      </c>
      <c r="K72" s="4">
        <v>513</v>
      </c>
      <c r="L72" s="3"/>
      <c r="M72" s="4">
        <v>69</v>
      </c>
      <c r="N72" s="4">
        <v>39</v>
      </c>
      <c r="O72" s="4">
        <v>40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3.2" x14ac:dyDescent="0.25">
      <c r="A73" s="4">
        <v>70</v>
      </c>
      <c r="B73" s="4" t="s">
        <v>91</v>
      </c>
      <c r="C73" s="3"/>
      <c r="D73" s="4" t="s">
        <v>92</v>
      </c>
      <c r="E73" s="6">
        <v>94942</v>
      </c>
      <c r="F73" s="3">
        <f t="shared" si="4"/>
        <v>835</v>
      </c>
      <c r="G73" s="3">
        <f t="shared" si="5"/>
        <v>136</v>
      </c>
      <c r="H73" s="3"/>
      <c r="I73" s="4">
        <v>70</v>
      </c>
      <c r="J73" s="4">
        <v>792</v>
      </c>
      <c r="K73" s="4">
        <v>20</v>
      </c>
      <c r="L73" s="3"/>
      <c r="M73" s="4">
        <v>70</v>
      </c>
      <c r="N73" s="4">
        <v>46</v>
      </c>
      <c r="O73" s="4">
        <v>47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3.2" x14ac:dyDescent="0.25">
      <c r="A74" s="4">
        <v>71</v>
      </c>
      <c r="B74" s="3"/>
      <c r="C74" s="3"/>
      <c r="D74" s="4" t="s">
        <v>93</v>
      </c>
      <c r="E74" s="6">
        <v>53914</v>
      </c>
      <c r="F74" s="3">
        <f t="shared" si="4"/>
        <v>474</v>
      </c>
      <c r="G74" s="3">
        <f t="shared" si="5"/>
        <v>78</v>
      </c>
      <c r="H74" s="3"/>
      <c r="I74" s="6">
        <v>71</v>
      </c>
      <c r="J74" s="4">
        <v>882</v>
      </c>
      <c r="K74" s="4">
        <v>30</v>
      </c>
      <c r="L74" s="3"/>
      <c r="M74" s="4">
        <v>71</v>
      </c>
      <c r="N74" s="4">
        <v>42</v>
      </c>
      <c r="O74" s="4">
        <v>48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3.2" x14ac:dyDescent="0.25">
      <c r="A75" s="4">
        <v>72</v>
      </c>
      <c r="B75" s="4" t="s">
        <v>94</v>
      </c>
      <c r="C75" s="3"/>
      <c r="D75" s="6" t="s">
        <v>95</v>
      </c>
      <c r="E75" s="6">
        <v>185043</v>
      </c>
      <c r="F75" s="3">
        <f t="shared" si="4"/>
        <v>1626</v>
      </c>
      <c r="G75" s="3">
        <f t="shared" si="5"/>
        <v>265</v>
      </c>
      <c r="H75" s="3"/>
      <c r="I75" s="4">
        <v>72</v>
      </c>
      <c r="J75" s="4">
        <v>968</v>
      </c>
      <c r="K75" s="4">
        <v>55</v>
      </c>
      <c r="L75" s="3"/>
      <c r="M75" s="4">
        <v>72</v>
      </c>
      <c r="N75" s="4">
        <v>49</v>
      </c>
      <c r="O75" s="4">
        <v>69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3.2" x14ac:dyDescent="0.25">
      <c r="A76" s="4">
        <v>73</v>
      </c>
      <c r="B76" s="4">
        <v>76</v>
      </c>
      <c r="C76" s="3"/>
      <c r="D76" s="4" t="s">
        <v>96</v>
      </c>
      <c r="E76" s="6">
        <v>46389</v>
      </c>
      <c r="F76" s="3">
        <f t="shared" si="4"/>
        <v>408</v>
      </c>
      <c r="G76" s="3">
        <f t="shared" si="5"/>
        <v>67</v>
      </c>
      <c r="H76" s="3"/>
      <c r="I76" s="6">
        <v>73</v>
      </c>
      <c r="J76" s="4">
        <v>958</v>
      </c>
      <c r="K76" s="4">
        <v>140</v>
      </c>
      <c r="L76" s="3"/>
      <c r="M76" s="4">
        <v>73</v>
      </c>
      <c r="N76" s="4">
        <v>39</v>
      </c>
      <c r="O76" s="4">
        <v>50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3.2" x14ac:dyDescent="0.25">
      <c r="A77" s="4">
        <v>74</v>
      </c>
      <c r="B77" s="3"/>
      <c r="C77" s="3"/>
      <c r="D77" s="4" t="s">
        <v>97</v>
      </c>
      <c r="E77" s="6">
        <v>8280</v>
      </c>
      <c r="F77" s="3">
        <f t="shared" si="4"/>
        <v>73</v>
      </c>
      <c r="G77" s="3">
        <f t="shared" si="5"/>
        <v>12</v>
      </c>
      <c r="H77" s="3"/>
      <c r="I77" s="4">
        <v>74</v>
      </c>
      <c r="J77" s="4">
        <v>964</v>
      </c>
      <c r="K77" s="4">
        <v>275</v>
      </c>
      <c r="L77" s="3"/>
      <c r="M77" s="4">
        <v>74</v>
      </c>
      <c r="N77" s="4">
        <v>47</v>
      </c>
      <c r="O77" s="4">
        <v>48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3.2" x14ac:dyDescent="0.25">
      <c r="A78" s="4">
        <v>75</v>
      </c>
      <c r="B78" s="4" t="s">
        <v>98</v>
      </c>
      <c r="C78" s="3"/>
      <c r="D78" s="4" t="s">
        <v>99</v>
      </c>
      <c r="E78" s="4">
        <v>66806</v>
      </c>
      <c r="F78" s="3">
        <f t="shared" si="4"/>
        <v>587</v>
      </c>
      <c r="G78" s="3">
        <f t="shared" si="5"/>
        <v>96</v>
      </c>
      <c r="H78" s="3"/>
      <c r="I78" s="6">
        <v>75</v>
      </c>
      <c r="J78" s="4">
        <v>971</v>
      </c>
      <c r="K78" s="4">
        <v>341</v>
      </c>
      <c r="L78" s="3"/>
      <c r="M78" s="4">
        <v>75</v>
      </c>
      <c r="N78" s="4">
        <v>48</v>
      </c>
      <c r="O78" s="4">
        <v>49</v>
      </c>
      <c r="P78" s="3"/>
      <c r="Q78" s="4" t="s">
        <v>21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3.2" x14ac:dyDescent="0.25">
      <c r="B79" s="3"/>
      <c r="C79" s="3"/>
      <c r="D79" s="3"/>
      <c r="E79" s="3"/>
      <c r="F79" s="3"/>
      <c r="G79" s="3"/>
      <c r="H79" s="3"/>
      <c r="I79" s="4">
        <v>76</v>
      </c>
      <c r="J79" s="4">
        <v>972</v>
      </c>
      <c r="K79" s="4">
        <v>460</v>
      </c>
      <c r="L79" s="3"/>
      <c r="M79" s="4">
        <v>76</v>
      </c>
      <c r="N79" s="4">
        <v>50</v>
      </c>
      <c r="O79" s="4">
        <v>51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3.2" x14ac:dyDescent="0.25">
      <c r="B80" s="3"/>
      <c r="C80" s="3"/>
      <c r="D80" s="3"/>
      <c r="E80" s="3"/>
      <c r="F80" s="3"/>
      <c r="G80" s="3"/>
      <c r="H80" s="3"/>
      <c r="I80" s="6">
        <v>77</v>
      </c>
      <c r="J80" s="6">
        <v>886</v>
      </c>
      <c r="K80" s="4">
        <v>635</v>
      </c>
      <c r="L80" s="3"/>
      <c r="M80" s="4">
        <v>77</v>
      </c>
      <c r="N80" s="4">
        <v>50</v>
      </c>
      <c r="O80" s="4">
        <v>52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2:29" ht="13.2" x14ac:dyDescent="0.25">
      <c r="B81" s="3"/>
      <c r="C81" s="3"/>
      <c r="D81" s="3"/>
      <c r="E81" s="3"/>
      <c r="F81" s="3"/>
      <c r="G81" s="3"/>
      <c r="H81" s="3"/>
      <c r="I81" s="4">
        <v>78</v>
      </c>
      <c r="J81" s="6">
        <v>885</v>
      </c>
      <c r="K81" s="6">
        <v>678</v>
      </c>
      <c r="L81" s="3"/>
      <c r="M81" s="4">
        <v>78</v>
      </c>
      <c r="N81" s="4">
        <v>51</v>
      </c>
      <c r="O81" s="4">
        <v>52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2:29" ht="13.2" x14ac:dyDescent="0.25">
      <c r="B82" s="3"/>
      <c r="C82" s="3"/>
      <c r="D82" s="3"/>
      <c r="E82" s="3"/>
      <c r="F82" s="3"/>
      <c r="G82" s="3"/>
      <c r="H82" s="3"/>
      <c r="I82" s="6">
        <v>79</v>
      </c>
      <c r="J82" s="6">
        <v>784</v>
      </c>
      <c r="K82" s="6">
        <v>769</v>
      </c>
      <c r="L82" s="4" t="s">
        <v>100</v>
      </c>
      <c r="M82" s="4">
        <v>79</v>
      </c>
      <c r="N82" s="4">
        <v>52</v>
      </c>
      <c r="O82" s="4">
        <v>53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2:29" ht="13.2" x14ac:dyDescent="0.25">
      <c r="B83" s="3"/>
      <c r="C83" s="3"/>
      <c r="D83" s="3"/>
      <c r="E83" s="3"/>
      <c r="F83" s="3"/>
      <c r="G83" s="3"/>
      <c r="H83" s="3"/>
      <c r="I83" s="4">
        <v>80</v>
      </c>
      <c r="J83" s="6">
        <v>711</v>
      </c>
      <c r="K83" s="6">
        <v>762</v>
      </c>
      <c r="L83" s="3"/>
      <c r="M83" s="4">
        <v>80</v>
      </c>
      <c r="N83" s="4">
        <v>67</v>
      </c>
      <c r="O83" s="4">
        <v>71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2:29" ht="13.2" x14ac:dyDescent="0.25">
      <c r="B84" s="3"/>
      <c r="C84" s="3"/>
      <c r="D84" s="3"/>
      <c r="E84" s="3"/>
      <c r="F84" s="3"/>
      <c r="G84" s="3"/>
      <c r="H84" s="3"/>
      <c r="I84" s="6">
        <v>81</v>
      </c>
      <c r="J84" s="6">
        <v>603</v>
      </c>
      <c r="K84" s="6">
        <v>754</v>
      </c>
      <c r="L84" s="3"/>
      <c r="M84" s="4">
        <v>81</v>
      </c>
      <c r="N84" s="4">
        <v>66</v>
      </c>
      <c r="O84" s="4">
        <v>67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2:29" ht="13.2" x14ac:dyDescent="0.25">
      <c r="B85" s="3"/>
      <c r="C85" s="3"/>
      <c r="D85" s="3"/>
      <c r="E85" s="3"/>
      <c r="F85" s="3"/>
      <c r="G85" s="3"/>
      <c r="H85" s="3"/>
      <c r="I85" s="4">
        <v>82</v>
      </c>
      <c r="J85" s="6">
        <v>417</v>
      </c>
      <c r="K85" s="6">
        <v>794</v>
      </c>
      <c r="L85" s="3"/>
      <c r="M85" s="4">
        <v>82</v>
      </c>
      <c r="N85" s="4">
        <v>47</v>
      </c>
      <c r="O85" s="4">
        <v>61</v>
      </c>
      <c r="P85" s="4" t="s">
        <v>21</v>
      </c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2:29" ht="13.2" x14ac:dyDescent="0.25">
      <c r="B86" s="3"/>
      <c r="C86" s="3"/>
      <c r="D86" s="3"/>
      <c r="E86" s="3"/>
      <c r="F86" s="3"/>
      <c r="G86" s="3"/>
      <c r="H86" s="3"/>
      <c r="I86" s="6">
        <v>83</v>
      </c>
      <c r="J86" s="6">
        <v>27</v>
      </c>
      <c r="K86" s="6">
        <v>499</v>
      </c>
      <c r="L86" s="3"/>
      <c r="M86" s="4">
        <v>83</v>
      </c>
      <c r="N86" s="4">
        <v>49</v>
      </c>
      <c r="O86" s="4">
        <v>59</v>
      </c>
      <c r="P86" s="4" t="s">
        <v>101</v>
      </c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2:29" ht="13.2" x14ac:dyDescent="0.25">
      <c r="B87" s="3"/>
      <c r="C87" s="3"/>
      <c r="D87" s="3"/>
      <c r="E87" s="3"/>
      <c r="F87" s="3"/>
      <c r="G87" s="3"/>
      <c r="H87" s="3"/>
      <c r="I87" s="4">
        <v>84</v>
      </c>
      <c r="J87" s="6">
        <v>96</v>
      </c>
      <c r="K87" s="6">
        <v>400</v>
      </c>
      <c r="L87" s="3"/>
      <c r="M87" s="4">
        <v>84</v>
      </c>
      <c r="N87" s="4">
        <v>57</v>
      </c>
      <c r="O87" s="4">
        <v>59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2:29" ht="13.2" x14ac:dyDescent="0.25">
      <c r="B88" s="3"/>
      <c r="C88" s="3"/>
      <c r="D88" s="3"/>
      <c r="E88" s="3"/>
      <c r="F88" s="3"/>
      <c r="G88" s="3"/>
      <c r="H88" s="3"/>
      <c r="I88" s="6">
        <v>85</v>
      </c>
      <c r="J88" s="6">
        <v>105</v>
      </c>
      <c r="K88" s="6">
        <v>376</v>
      </c>
      <c r="L88" s="3"/>
      <c r="M88" s="4">
        <v>85</v>
      </c>
      <c r="N88" s="4">
        <v>51</v>
      </c>
      <c r="O88" s="4">
        <v>57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2:29" ht="13.2" x14ac:dyDescent="0.25">
      <c r="B89" s="3"/>
      <c r="C89" s="3"/>
      <c r="D89" s="3"/>
      <c r="E89" s="3"/>
      <c r="F89" s="3"/>
      <c r="G89" s="3"/>
      <c r="H89" s="3"/>
      <c r="I89" s="4">
        <v>86</v>
      </c>
      <c r="J89" s="6">
        <v>128</v>
      </c>
      <c r="K89" s="6">
        <v>336</v>
      </c>
      <c r="L89" s="3"/>
      <c r="M89" s="4">
        <v>86</v>
      </c>
      <c r="N89" s="4">
        <v>52</v>
      </c>
      <c r="O89" s="4">
        <v>54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2:29" ht="13.2" x14ac:dyDescent="0.25">
      <c r="B90" s="3"/>
      <c r="C90" s="3"/>
      <c r="D90" s="3"/>
      <c r="E90" s="3"/>
      <c r="F90" s="3"/>
      <c r="G90" s="3"/>
      <c r="H90" s="3"/>
      <c r="I90" s="6">
        <v>87</v>
      </c>
      <c r="J90" s="6">
        <v>159</v>
      </c>
      <c r="K90" s="6">
        <v>300</v>
      </c>
      <c r="L90" s="3"/>
      <c r="M90" s="4">
        <v>87</v>
      </c>
      <c r="N90" s="4">
        <v>60</v>
      </c>
      <c r="O90" s="4">
        <v>61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2:29" ht="13.2" x14ac:dyDescent="0.25">
      <c r="B91" s="3"/>
      <c r="C91" s="3"/>
      <c r="D91" s="3"/>
      <c r="E91" s="3"/>
      <c r="F91" s="3"/>
      <c r="G91" s="3"/>
      <c r="H91" s="3"/>
      <c r="I91" s="4">
        <v>88</v>
      </c>
      <c r="J91" s="6">
        <v>237</v>
      </c>
      <c r="K91" s="6">
        <v>228</v>
      </c>
      <c r="L91" s="3"/>
      <c r="M91" s="4">
        <v>88</v>
      </c>
      <c r="N91" s="4">
        <v>59</v>
      </c>
      <c r="O91" s="4">
        <v>60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2:29" ht="13.2" x14ac:dyDescent="0.25">
      <c r="B92" s="3"/>
      <c r="C92" s="3"/>
      <c r="D92" s="3"/>
      <c r="E92" s="3"/>
      <c r="F92" s="3"/>
      <c r="G92" s="3"/>
      <c r="H92" s="3"/>
      <c r="I92" s="6">
        <v>89</v>
      </c>
      <c r="J92" s="6">
        <v>215</v>
      </c>
      <c r="K92" s="6">
        <v>213</v>
      </c>
      <c r="L92" s="3"/>
      <c r="M92" s="4">
        <v>89</v>
      </c>
      <c r="N92" s="4">
        <v>56</v>
      </c>
      <c r="O92" s="4">
        <v>57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2:29" ht="13.2" x14ac:dyDescent="0.25">
      <c r="B93" s="3"/>
      <c r="C93" s="3"/>
      <c r="D93" s="3"/>
      <c r="E93" s="3"/>
      <c r="F93" s="3"/>
      <c r="G93" s="3"/>
      <c r="H93" s="3"/>
      <c r="I93" s="4">
        <v>90</v>
      </c>
      <c r="J93" s="6">
        <v>235</v>
      </c>
      <c r="K93" s="6">
        <v>188</v>
      </c>
      <c r="L93" s="3"/>
      <c r="M93" s="4">
        <v>90</v>
      </c>
      <c r="N93" s="4">
        <v>54</v>
      </c>
      <c r="O93" s="4">
        <v>56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2:29" ht="13.2" x14ac:dyDescent="0.25">
      <c r="B94" s="3"/>
      <c r="C94" s="3"/>
      <c r="D94" s="3"/>
      <c r="E94" s="3"/>
      <c r="F94" s="3"/>
      <c r="G94" s="3"/>
      <c r="H94" s="3"/>
      <c r="I94" s="6">
        <v>91</v>
      </c>
      <c r="J94" s="6">
        <v>232</v>
      </c>
      <c r="K94" s="6">
        <v>167</v>
      </c>
      <c r="L94" s="3"/>
      <c r="M94" s="4">
        <v>91</v>
      </c>
      <c r="N94" s="4">
        <v>54</v>
      </c>
      <c r="O94" s="4">
        <v>55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2:29" ht="13.2" x14ac:dyDescent="0.25">
      <c r="B95" s="3"/>
      <c r="C95" s="3"/>
      <c r="D95" s="3"/>
      <c r="E95" s="3"/>
      <c r="F95" s="3"/>
      <c r="G95" s="3"/>
      <c r="H95" s="3"/>
      <c r="I95" s="4">
        <v>92</v>
      </c>
      <c r="J95" s="6">
        <v>254</v>
      </c>
      <c r="K95" s="6">
        <v>138</v>
      </c>
      <c r="L95" s="3"/>
      <c r="M95" s="4">
        <v>92</v>
      </c>
      <c r="N95" s="4">
        <v>68</v>
      </c>
      <c r="O95" s="4">
        <v>71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2:29" ht="13.2" x14ac:dyDescent="0.25">
      <c r="B96" s="3"/>
      <c r="C96" s="3"/>
      <c r="D96" s="3"/>
      <c r="E96" s="3"/>
      <c r="F96" s="3"/>
      <c r="G96" s="3"/>
      <c r="H96" s="3"/>
      <c r="I96" s="6">
        <v>93</v>
      </c>
      <c r="J96" s="6">
        <v>297</v>
      </c>
      <c r="K96" s="6">
        <v>156</v>
      </c>
      <c r="L96" s="3"/>
      <c r="M96" s="4">
        <v>93</v>
      </c>
      <c r="N96" s="4">
        <v>66</v>
      </c>
      <c r="O96" s="4">
        <v>68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2:29" ht="13.2" x14ac:dyDescent="0.25">
      <c r="B97" s="3"/>
      <c r="C97" s="3"/>
      <c r="D97" s="3"/>
      <c r="E97" s="3"/>
      <c r="F97" s="3"/>
      <c r="G97" s="3"/>
      <c r="H97" s="3"/>
      <c r="I97" s="4">
        <v>94</v>
      </c>
      <c r="J97" s="6">
        <v>327</v>
      </c>
      <c r="K97" s="6">
        <v>181</v>
      </c>
      <c r="L97" s="3"/>
      <c r="M97" s="4">
        <v>94</v>
      </c>
      <c r="N97" s="4">
        <v>65</v>
      </c>
      <c r="O97" s="4">
        <v>66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2:29" ht="13.2" x14ac:dyDescent="0.25">
      <c r="B98" s="3"/>
      <c r="C98" s="3"/>
      <c r="D98" s="3"/>
      <c r="E98" s="3"/>
      <c r="F98" s="3"/>
      <c r="G98" s="3"/>
      <c r="H98" s="3"/>
      <c r="I98" s="6">
        <v>95</v>
      </c>
      <c r="J98" s="6">
        <v>362</v>
      </c>
      <c r="K98" s="6">
        <v>199</v>
      </c>
      <c r="L98" s="3"/>
      <c r="M98" s="4">
        <v>95</v>
      </c>
      <c r="N98" s="4">
        <v>64</v>
      </c>
      <c r="O98" s="4">
        <v>65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2:29" ht="13.2" x14ac:dyDescent="0.25">
      <c r="B99" s="3"/>
      <c r="C99" s="3"/>
      <c r="D99" s="3"/>
      <c r="E99" s="3"/>
      <c r="F99" s="3"/>
      <c r="G99" s="3"/>
      <c r="H99" s="3"/>
      <c r="I99" s="4">
        <v>96</v>
      </c>
      <c r="J99" s="6">
        <v>376</v>
      </c>
      <c r="K99" s="6">
        <v>220</v>
      </c>
      <c r="L99" s="3"/>
      <c r="M99" s="4">
        <v>96</v>
      </c>
      <c r="N99" s="4">
        <v>61</v>
      </c>
      <c r="O99" s="4">
        <v>64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2:29" ht="13.2" x14ac:dyDescent="0.25">
      <c r="B100" s="3"/>
      <c r="C100" s="3"/>
      <c r="D100" s="3"/>
      <c r="E100" s="3"/>
      <c r="F100" s="3"/>
      <c r="G100" s="3"/>
      <c r="H100" s="3"/>
      <c r="I100" s="6">
        <v>97</v>
      </c>
      <c r="J100" s="6">
        <v>403</v>
      </c>
      <c r="K100" s="6">
        <v>234</v>
      </c>
      <c r="L100" s="3"/>
      <c r="M100" s="4">
        <v>97</v>
      </c>
      <c r="N100" s="4">
        <v>61</v>
      </c>
      <c r="O100" s="4">
        <v>62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2:29" ht="13.2" x14ac:dyDescent="0.25">
      <c r="B101" s="3"/>
      <c r="C101" s="3"/>
      <c r="D101" s="3"/>
      <c r="E101" s="3"/>
      <c r="F101" s="3"/>
      <c r="G101" s="3"/>
      <c r="H101" s="3"/>
      <c r="I101" s="4">
        <v>98</v>
      </c>
      <c r="J101" s="6">
        <v>419</v>
      </c>
      <c r="K101" s="6">
        <v>257</v>
      </c>
      <c r="L101" s="3"/>
      <c r="M101" s="4">
        <v>98</v>
      </c>
      <c r="N101" s="4">
        <v>58</v>
      </c>
      <c r="O101" s="4">
        <v>60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2:29" ht="13.2" x14ac:dyDescent="0.25">
      <c r="B102" s="3"/>
      <c r="C102" s="3"/>
      <c r="D102" s="3"/>
      <c r="E102" s="3"/>
      <c r="F102" s="3"/>
      <c r="G102" s="3"/>
      <c r="H102" s="3"/>
      <c r="I102" s="6">
        <v>99</v>
      </c>
      <c r="J102" s="6">
        <v>478</v>
      </c>
      <c r="K102" s="6">
        <v>232</v>
      </c>
      <c r="L102" s="3"/>
      <c r="M102" s="4">
        <v>99</v>
      </c>
      <c r="N102" s="4">
        <v>56</v>
      </c>
      <c r="O102" s="4">
        <v>58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2:29" ht="13.2" x14ac:dyDescent="0.25">
      <c r="B103" s="3"/>
      <c r="C103" s="3"/>
      <c r="D103" s="3"/>
      <c r="E103" s="3"/>
      <c r="F103" s="3"/>
      <c r="G103" s="3"/>
      <c r="H103" s="3"/>
      <c r="I103" s="4">
        <v>100</v>
      </c>
      <c r="J103" s="6">
        <v>503</v>
      </c>
      <c r="K103" s="6">
        <v>224</v>
      </c>
      <c r="L103" s="3"/>
      <c r="M103" s="4">
        <v>100</v>
      </c>
      <c r="N103" s="4">
        <v>55</v>
      </c>
      <c r="O103" s="4">
        <v>56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2:29" ht="13.2" x14ac:dyDescent="0.25">
      <c r="B104" s="3"/>
      <c r="C104" s="3"/>
      <c r="D104" s="3"/>
      <c r="E104" s="3"/>
      <c r="F104" s="3"/>
      <c r="G104" s="3"/>
      <c r="H104" s="3"/>
      <c r="I104" s="6">
        <v>101</v>
      </c>
      <c r="J104" s="6">
        <v>527</v>
      </c>
      <c r="K104" s="6">
        <v>224</v>
      </c>
      <c r="L104" s="3"/>
      <c r="M104" s="4">
        <v>101</v>
      </c>
      <c r="N104" s="4">
        <v>63</v>
      </c>
      <c r="O104" s="4">
        <v>64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2:29" ht="13.2" x14ac:dyDescent="0.25">
      <c r="B105" s="3"/>
      <c r="C105" s="3"/>
      <c r="D105" s="3"/>
      <c r="E105" s="3"/>
      <c r="F105" s="3"/>
      <c r="G105" s="3"/>
      <c r="H105" s="3"/>
      <c r="I105" s="4">
        <v>102</v>
      </c>
      <c r="J105" s="6">
        <v>571</v>
      </c>
      <c r="K105" s="6">
        <v>228</v>
      </c>
      <c r="L105" s="3"/>
      <c r="M105" s="4">
        <v>102</v>
      </c>
      <c r="N105" s="4">
        <v>62</v>
      </c>
      <c r="O105" s="4">
        <v>63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2:29" ht="13.2" x14ac:dyDescent="0.25">
      <c r="B106" s="3"/>
      <c r="C106" s="3"/>
      <c r="D106" s="3"/>
      <c r="E106" s="3"/>
      <c r="F106" s="3"/>
      <c r="G106" s="3"/>
      <c r="H106" s="3"/>
      <c r="I106" s="6">
        <v>103</v>
      </c>
      <c r="J106" s="6">
        <v>565</v>
      </c>
      <c r="K106" s="6">
        <v>206</v>
      </c>
      <c r="L106" s="3"/>
      <c r="M106" s="4">
        <v>103</v>
      </c>
      <c r="N106" s="4">
        <v>58</v>
      </c>
      <c r="O106" s="4">
        <v>62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2:29" ht="13.2" x14ac:dyDescent="0.25">
      <c r="B107" s="3"/>
      <c r="C107" s="3"/>
      <c r="D107" s="3"/>
      <c r="E107" s="3"/>
      <c r="F107" s="3"/>
      <c r="G107" s="3"/>
      <c r="H107" s="3"/>
      <c r="I107" s="4">
        <v>104</v>
      </c>
      <c r="J107" s="6">
        <v>589</v>
      </c>
      <c r="K107" s="6">
        <v>192</v>
      </c>
      <c r="L107" s="3"/>
      <c r="M107" s="3"/>
      <c r="N107" s="4" t="s">
        <v>21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2:29" ht="13.2" x14ac:dyDescent="0.25">
      <c r="B108" s="3"/>
      <c r="C108" s="3"/>
      <c r="D108" s="3"/>
      <c r="E108" s="3"/>
      <c r="F108" s="3"/>
      <c r="G108" s="3"/>
      <c r="H108" s="3"/>
      <c r="I108" s="6">
        <v>105</v>
      </c>
      <c r="J108" s="6">
        <v>625</v>
      </c>
      <c r="K108" s="6">
        <v>173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2:29" ht="13.2" x14ac:dyDescent="0.25">
      <c r="B109" s="3"/>
      <c r="C109" s="3"/>
      <c r="D109" s="3"/>
      <c r="E109" s="3"/>
      <c r="F109" s="3"/>
      <c r="G109" s="3"/>
      <c r="H109" s="3"/>
      <c r="I109" s="4">
        <v>106</v>
      </c>
      <c r="J109" s="6">
        <v>740</v>
      </c>
      <c r="K109" s="6">
        <v>187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2:29" ht="13.2" x14ac:dyDescent="0.25">
      <c r="B110" s="3"/>
      <c r="C110" s="3"/>
      <c r="D110" s="3"/>
      <c r="E110" s="3"/>
      <c r="F110" s="3"/>
      <c r="G110" s="3"/>
      <c r="H110" s="3"/>
      <c r="I110" s="6">
        <v>107</v>
      </c>
      <c r="J110" s="6">
        <v>744</v>
      </c>
      <c r="K110" s="6">
        <v>286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2:29" ht="13.2" x14ac:dyDescent="0.25">
      <c r="B111" s="3"/>
      <c r="C111" s="3"/>
      <c r="D111" s="3"/>
      <c r="E111" s="3"/>
      <c r="F111" s="3"/>
      <c r="G111" s="3"/>
      <c r="H111" s="3"/>
      <c r="I111" s="4">
        <v>108</v>
      </c>
      <c r="J111" s="6">
        <v>251</v>
      </c>
      <c r="K111" s="6">
        <v>300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2:29" ht="13.2" x14ac:dyDescent="0.25">
      <c r="B112" s="3"/>
      <c r="C112" s="3"/>
      <c r="D112" s="3"/>
      <c r="E112" s="3"/>
      <c r="F112" s="3"/>
      <c r="G112" s="3"/>
      <c r="H112" s="3"/>
      <c r="I112" s="6">
        <v>109</v>
      </c>
      <c r="J112" s="6">
        <v>381</v>
      </c>
      <c r="K112" s="6">
        <v>310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2:29" ht="13.2" x14ac:dyDescent="0.25">
      <c r="B113" s="3"/>
      <c r="C113" s="3"/>
      <c r="D113" s="3"/>
      <c r="E113" s="3"/>
      <c r="F113" s="3"/>
      <c r="G113" s="3"/>
      <c r="H113" s="3"/>
      <c r="I113" s="4">
        <v>110</v>
      </c>
      <c r="J113" s="6">
        <v>394</v>
      </c>
      <c r="K113" s="6">
        <v>427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2:29" ht="13.2" x14ac:dyDescent="0.25">
      <c r="B114" s="3"/>
      <c r="C114" s="3"/>
      <c r="D114" s="3"/>
      <c r="E114" s="3"/>
      <c r="F114" s="3"/>
      <c r="G114" s="3"/>
      <c r="H114" s="3"/>
      <c r="I114" s="6">
        <v>111</v>
      </c>
      <c r="J114" s="6">
        <v>565</v>
      </c>
      <c r="K114" s="6">
        <v>473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2:29" ht="13.2" x14ac:dyDescent="0.25">
      <c r="B115" s="3"/>
      <c r="C115" s="3"/>
      <c r="D115" s="3"/>
      <c r="E115" s="3"/>
      <c r="F115" s="3"/>
      <c r="G115" s="3"/>
      <c r="H115" s="3"/>
      <c r="I115" s="4">
        <v>112</v>
      </c>
      <c r="J115" s="6">
        <v>655</v>
      </c>
      <c r="K115" s="6">
        <v>588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2:29" ht="13.2" x14ac:dyDescent="0.25">
      <c r="B116" s="3"/>
      <c r="C116" s="3"/>
      <c r="D116" s="3"/>
      <c r="E116" s="3"/>
      <c r="F116" s="3"/>
      <c r="G116" s="3"/>
      <c r="H116" s="3"/>
      <c r="I116" s="6">
        <v>113</v>
      </c>
      <c r="J116" s="6">
        <v>632</v>
      </c>
      <c r="K116" s="6">
        <v>687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2:29" ht="13.2" x14ac:dyDescent="0.25">
      <c r="B117" s="3"/>
      <c r="C117" s="3"/>
      <c r="D117" s="3"/>
      <c r="E117" s="3"/>
      <c r="F117" s="3"/>
      <c r="G117" s="3"/>
      <c r="H117" s="3"/>
      <c r="I117" s="4">
        <v>114</v>
      </c>
      <c r="J117" s="6">
        <v>120</v>
      </c>
      <c r="K117" s="6">
        <v>528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2:29" ht="13.2" x14ac:dyDescent="0.25">
      <c r="B118" s="3"/>
      <c r="C118" s="3"/>
      <c r="D118" s="3"/>
      <c r="E118" s="3"/>
      <c r="F118" s="3"/>
      <c r="G118" s="3"/>
      <c r="H118" s="3"/>
      <c r="I118" s="4">
        <v>115</v>
      </c>
      <c r="J118" s="6">
        <v>442</v>
      </c>
      <c r="K118" s="6">
        <v>249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2:29" ht="13.2" x14ac:dyDescent="0.25">
      <c r="B119" s="3"/>
      <c r="C119" s="3"/>
      <c r="D119" s="3"/>
      <c r="E119" s="3"/>
      <c r="F119" s="3"/>
      <c r="G119" s="3"/>
      <c r="H119" s="3"/>
      <c r="I119" s="4">
        <v>116</v>
      </c>
      <c r="J119" s="6">
        <v>475</v>
      </c>
      <c r="K119" s="6">
        <v>290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2:29" ht="13.2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2:29" ht="13.2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2:29" ht="13.2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2:29" ht="13.2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2:29" ht="13.2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2:29" ht="13.2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2:29" ht="13.2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2:29" ht="13.2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2:29" ht="13.2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2:29" ht="13.2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2:29" ht="13.2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2:29" ht="13.2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2:29" ht="13.2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2:29" ht="13.2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2:29" ht="13.2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2:29" ht="13.2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2:29" ht="13.2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2:29" ht="13.2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2:29" ht="13.2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2:29" ht="13.2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2:29" ht="13.2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2:29" ht="13.2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2:29" ht="13.2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2:29" ht="13.2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2:29" ht="13.2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2:29" ht="13.2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2:29" ht="13.2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2:29" ht="13.2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2:29" ht="13.2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2:29" ht="13.2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2:29" ht="13.2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2:29" ht="13.2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2:29" ht="13.2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2:29" ht="13.2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2:29" ht="13.2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2:29" ht="13.2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2:29" ht="13.2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2:29" ht="13.2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2:29" ht="13.2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2:29" ht="13.2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2:29" ht="13.2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2:29" ht="13.2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2:29" ht="13.2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2:29" ht="13.2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2:29" ht="13.2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2:29" ht="13.2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2:29" ht="13.2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2:29" ht="13.2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2:29" ht="13.2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2:29" ht="13.2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2:29" ht="13.2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2:29" ht="13.2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2:29" ht="13.2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2:29" ht="13.2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2:29" ht="13.2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2:29" ht="13.2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2:29" ht="13.2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2:29" ht="13.2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2:29" ht="13.2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2:29" ht="13.2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2:29" ht="13.2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2:29" ht="13.2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2:29" ht="13.2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2:29" ht="13.2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2:29" ht="13.2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2:29" ht="13.2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2:29" ht="13.2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2:29" ht="13.2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2:29" ht="13.2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2:29" ht="13.2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2:29" ht="13.2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2:29" ht="13.2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2:29" ht="13.2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2:29" ht="13.2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2:29" ht="13.2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2:29" ht="13.2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2:29" ht="13.2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2:29" ht="13.2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2:29" ht="13.2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2:29" ht="13.2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2:29" ht="13.2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2:29" ht="13.2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2:29" ht="13.2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2:29" ht="13.2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2:29" ht="13.2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2:29" ht="13.2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2:29" ht="13.2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2:29" ht="13.2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2:29" ht="13.2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2:29" ht="13.2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2:29" ht="13.2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2:29" ht="13.2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2:29" ht="13.2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2:29" ht="13.2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2:29" ht="13.2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2:29" ht="13.2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2:29" ht="13.2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2:29" ht="13.2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2:29" ht="13.2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2:29" ht="13.2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2:29" ht="13.2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2:29" ht="13.2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2:29" ht="13.2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2:29" ht="13.2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2:29" ht="13.2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2:29" ht="13.2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2:29" ht="13.2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2:29" ht="13.2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2:29" ht="13.2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2:29" ht="13.2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2:29" ht="13.2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2:29" ht="13.2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2:29" ht="13.2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2:29" ht="13.2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2:29" ht="13.2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2:29" ht="13.2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2:29" ht="13.2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2:29" ht="13.2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2:29" ht="13.2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2:29" ht="13.2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2:29" ht="13.2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2:29" ht="13.2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2:29" ht="13.2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2:29" ht="13.2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2:29" ht="13.2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2:29" ht="13.2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2:29" ht="13.2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2:29" ht="13.2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2:29" ht="13.2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2:29" ht="13.2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2:29" ht="13.2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2:29" ht="13.2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2:29" ht="13.2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2:29" ht="13.2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2:29" ht="13.2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2:29" ht="13.2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2:29" ht="13.2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2:29" ht="13.2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2:29" ht="13.2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2:29" ht="13.2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2:29" ht="13.2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2:29" ht="13.2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2:29" ht="13.2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2:29" ht="13.2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2:29" ht="13.2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2:29" ht="13.2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2:29" ht="13.2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2:29" ht="13.2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2:29" ht="13.2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2:29" ht="13.2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2:29" ht="13.2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2:29" ht="13.2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2:29" ht="13.2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2:29" ht="13.2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2:29" ht="13.2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2:29" ht="13.2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2:29" ht="13.2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2:29" ht="13.2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2:29" ht="13.2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2:29" ht="13.2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2:29" ht="13.2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2:29" ht="13.2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2:29" ht="13.2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2:29" ht="13.2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2:29" ht="13.2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2:29" ht="13.2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2:29" ht="13.2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2:29" ht="13.2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2:29" ht="13.2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2:29" ht="13.2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2:29" ht="13.2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2:29" ht="13.2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2:29" ht="13.2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2:29" ht="13.2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2:29" ht="13.2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2:29" ht="13.2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2:29" ht="13.2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2:29" ht="13.2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2:29" ht="13.2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2:29" ht="13.2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2:29" ht="13.2" x14ac:dyDescent="0.25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2:29" ht="13.2" x14ac:dyDescent="0.25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2:29" ht="13.2" x14ac:dyDescent="0.25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2:29" ht="13.2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2:29" ht="13.2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2:29" ht="13.2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2:29" ht="13.2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2:29" ht="13.2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2:29" ht="13.2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2:29" ht="13.2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2:29" ht="13.2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2:29" ht="13.2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2:29" ht="13.2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2:29" ht="13.2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2:29" ht="13.2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2:29" ht="13.2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2:29" ht="13.2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2:29" ht="13.2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2:29" ht="13.2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2:29" ht="13.2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2:29" ht="13.2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2:29" ht="13.2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2:29" ht="13.2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2:29" ht="13.2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2:29" ht="13.2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2:29" ht="13.2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2:29" ht="13.2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2:29" ht="13.2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2:29" ht="13.2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2:29" ht="13.2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2:29" ht="13.2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2:29" ht="13.2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2:29" ht="13.2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2:29" ht="13.2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2:29" ht="13.2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2:29" ht="13.2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2:29" ht="13.2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2:29" ht="13.2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2:29" ht="13.2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2:29" ht="13.2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2:29" ht="13.2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2:29" ht="13.2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2:29" ht="13.2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2:29" ht="13.2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2:29" ht="13.2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2:29" ht="13.2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2:29" ht="13.2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2:29" ht="13.2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2:29" ht="13.2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2:29" ht="13.2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2:29" ht="13.2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2:29" ht="13.2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2:29" ht="13.2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2:29" ht="13.2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2:29" ht="13.2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2:29" ht="13.2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2:29" ht="13.2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2:29" ht="13.2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2:29" ht="13.2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2:29" ht="13.2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2:29" ht="13.2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2:29" ht="13.2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2:29" ht="13.2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2:29" ht="13.2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2:29" ht="13.2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2:29" ht="13.2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2:29" ht="13.2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2:29" ht="13.2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2:29" ht="13.2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2:29" ht="13.2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2:29" ht="13.2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2:29" ht="13.2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2:29" ht="13.2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2:29" ht="13.2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2:29" ht="13.2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2:29" ht="13.2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2:29" ht="13.2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2:29" ht="13.2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2:29" ht="13.2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2:29" ht="13.2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2:29" ht="13.2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2:29" ht="13.2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2:29" ht="13.2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2:29" ht="13.2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2:29" ht="13.2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2:29" ht="13.2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2:29" ht="13.2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2:29" ht="13.2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2:29" ht="13.2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2:29" ht="13.2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2:29" ht="13.2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2:29" ht="13.2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2:29" ht="13.2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2:29" ht="13.2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2:29" ht="13.2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2:29" ht="13.2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2:29" ht="13.2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2:29" ht="13.2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2:29" ht="13.2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2:29" ht="13.2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2:29" ht="13.2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2:29" ht="13.2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2:29" ht="13.2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2:29" ht="13.2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2:29" ht="13.2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2:29" ht="13.2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2:29" ht="13.2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2:29" ht="13.2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2:29" ht="13.2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2:29" ht="13.2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2:29" ht="13.2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2:29" ht="13.2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2:29" ht="13.2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2:29" ht="13.2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2:29" ht="13.2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2:29" ht="13.2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2:29" ht="13.2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2:29" ht="13.2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2:29" ht="13.2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2:29" ht="13.2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2:29" ht="13.2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2:29" ht="13.2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2:29" ht="13.2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2:29" ht="13.2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2:29" ht="13.2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2:29" ht="13.2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2:29" ht="13.2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2:29" ht="13.2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2:29" ht="13.2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2:29" ht="13.2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2:29" ht="13.2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2:29" ht="13.2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2:29" ht="13.2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2:29" ht="13.2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2:29" ht="13.2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2:29" ht="13.2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2:29" ht="13.2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2:29" ht="13.2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2:29" ht="13.2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2:29" ht="13.2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2:29" ht="13.2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2:29" ht="13.2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2:29" ht="13.2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2:29" ht="13.2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2:29" ht="13.2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2:29" ht="13.2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2:29" ht="13.2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2:29" ht="13.2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2:29" ht="13.2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2:29" ht="13.2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2:29" ht="13.2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2:29" ht="13.2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2:29" ht="13.2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2:29" ht="13.2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2:29" ht="13.2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2:29" ht="13.2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2:29" ht="13.2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2:29" ht="13.2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2:29" ht="13.2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2:29" ht="13.2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2:29" ht="13.2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2:29" ht="13.2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2:29" ht="13.2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2:29" ht="13.2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2:29" ht="13.2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2:29" ht="13.2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2:29" ht="13.2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2:29" ht="13.2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2:29" ht="13.2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2:29" ht="13.2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2:29" ht="13.2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2:29" ht="13.2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2:29" ht="13.2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2:29" ht="13.2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2:29" ht="13.2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2:29" ht="13.2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2:29" ht="13.2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2:29" ht="13.2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2:29" ht="13.2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2:29" ht="13.2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2:29" ht="13.2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2:29" ht="13.2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2:29" ht="13.2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2:29" ht="13.2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2:29" ht="13.2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2:29" ht="13.2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2:29" ht="13.2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2:29" ht="13.2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2:29" ht="13.2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2:29" ht="13.2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2:29" ht="13.2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2:29" ht="13.2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2:29" ht="13.2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2:29" ht="13.2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2:29" ht="13.2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2:29" ht="13.2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2:29" ht="13.2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2:29" ht="13.2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2:29" ht="13.2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2:29" ht="13.2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2:29" ht="13.2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2:29" ht="13.2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2:29" ht="13.2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2:29" ht="13.2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2:29" ht="13.2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2:29" ht="13.2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2:29" ht="13.2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2:29" ht="13.2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2:29" ht="13.2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2:29" ht="13.2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2:29" ht="13.2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2:29" ht="13.2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2:29" ht="13.2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2:29" ht="13.2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2:29" ht="13.2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2:29" ht="13.2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2:29" ht="13.2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2:29" ht="13.2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2:29" ht="13.2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2:29" ht="13.2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2:29" ht="13.2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2:29" ht="13.2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2:29" ht="13.2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2:29" ht="13.2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2:29" ht="13.2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2:29" ht="13.2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2:29" ht="13.2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2:29" ht="13.2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2:29" ht="13.2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2:29" ht="13.2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2:29" ht="13.2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2:29" ht="13.2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2:29" ht="13.2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2:29" ht="13.2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2:29" ht="13.2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2:29" ht="13.2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2:29" ht="13.2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2:29" ht="13.2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2:29" ht="13.2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2:29" ht="13.2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2:29" ht="13.2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2:29" ht="13.2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2:29" ht="13.2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2:29" ht="13.2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2:29" ht="13.2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2:29" ht="13.2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2:29" ht="13.2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2:29" ht="13.2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2:29" ht="13.2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2:29" ht="13.2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2:29" ht="13.2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2:29" ht="13.2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2:29" ht="13.2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2:29" ht="13.2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2:29" ht="13.2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2:29" ht="13.2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2:29" ht="13.2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2:29" ht="13.2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2:29" ht="13.2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2:29" ht="13.2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2:29" ht="13.2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2:29" ht="13.2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2:29" ht="13.2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2:29" ht="13.2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2:29" ht="13.2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2:29" ht="13.2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2:29" ht="13.2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2:29" ht="13.2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2:29" ht="13.2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2:29" ht="13.2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2:29" ht="13.2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2:29" ht="13.2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2:29" ht="13.2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2:29" ht="13.2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2:29" ht="13.2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2:29" ht="13.2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2:29" ht="13.2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2:29" ht="13.2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2:29" ht="13.2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2:29" ht="13.2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2:29" ht="13.2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2:29" ht="13.2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2:29" ht="13.2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2:29" ht="13.2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2:29" ht="13.2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2:29" ht="13.2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2:29" ht="13.2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2:29" ht="13.2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2:29" ht="13.2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2:29" ht="13.2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2:29" ht="13.2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2:29" ht="13.2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2:29" ht="13.2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2:29" ht="13.2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2:29" ht="13.2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2:29" ht="13.2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2:29" ht="13.2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2:29" ht="13.2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2:29" ht="13.2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2:29" ht="13.2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2:29" ht="13.2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2:29" ht="13.2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2:29" ht="13.2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2:29" ht="13.2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2:29" ht="13.2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2:29" ht="13.2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2:29" ht="13.2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2:29" ht="13.2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2:29" ht="13.2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2:29" ht="13.2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2:29" ht="13.2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2:29" ht="13.2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2:29" ht="13.2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2:29" ht="13.2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2:29" ht="13.2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2:29" ht="13.2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2:29" ht="13.2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2:29" ht="13.2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2:29" ht="13.2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2:29" ht="13.2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2:29" ht="13.2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2:29" ht="13.2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2:29" ht="13.2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2:29" ht="13.2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2:29" ht="13.2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2:29" ht="13.2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2:29" ht="13.2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2:29" ht="13.2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2:29" ht="13.2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2:29" ht="13.2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2:29" ht="13.2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2:29" ht="13.2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2:29" ht="13.2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2:29" ht="13.2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2:29" ht="13.2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2:29" ht="13.2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2:29" ht="13.2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2:29" ht="13.2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2:29" ht="13.2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2:29" ht="13.2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2:29" ht="13.2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2:29" ht="13.2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2:29" ht="13.2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2:29" ht="13.2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2:29" ht="13.2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2:29" ht="13.2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2:29" ht="13.2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2:29" ht="13.2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2:29" ht="13.2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2:29" ht="13.2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2:29" ht="13.2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2:29" ht="13.2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2:29" ht="13.2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2:29" ht="13.2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2:29" ht="13.2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2:29" ht="13.2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2:29" ht="13.2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2:29" ht="13.2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2:29" ht="13.2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2:29" ht="13.2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2:29" ht="13.2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2:29" ht="13.2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2:29" ht="13.2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2:29" ht="13.2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2:29" ht="13.2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2:29" ht="13.2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2:29" ht="13.2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2:29" ht="13.2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2:29" ht="13.2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2:29" ht="13.2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2:29" ht="13.2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2:29" ht="13.2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2:29" ht="13.2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2:29" ht="13.2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2:29" ht="13.2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2:29" ht="13.2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2:29" ht="13.2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2:29" ht="13.2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2:29" ht="13.2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2:29" ht="13.2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2:29" ht="13.2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2:29" ht="13.2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2:29" ht="13.2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2:29" ht="13.2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2:29" ht="13.2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2:29" ht="13.2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2:29" ht="13.2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2:29" ht="13.2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2:29" ht="13.2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2:29" ht="13.2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2:29" ht="13.2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2:29" ht="13.2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2:29" ht="13.2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2:29" ht="13.2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2:29" ht="13.2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2:29" ht="13.2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2:29" ht="13.2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2:29" ht="13.2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2:29" ht="13.2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2:29" ht="13.2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2:29" ht="13.2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2:29" ht="13.2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2:29" ht="13.2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2:29" ht="13.2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2:29" ht="13.2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2:29" ht="13.2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2:29" ht="13.2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2:29" ht="13.2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2:29" ht="13.2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2:29" ht="13.2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2:29" ht="13.2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2:29" ht="13.2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2:29" ht="13.2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2:29" ht="13.2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2:29" ht="13.2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2:29" ht="13.2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2:29" ht="13.2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2:29" ht="13.2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2:29" ht="13.2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2:29" ht="13.2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2:29" ht="13.2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2:29" ht="13.2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2:29" ht="13.2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2:29" ht="13.2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2:29" ht="13.2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2:29" ht="13.2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2:29" ht="13.2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2:29" ht="13.2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2:29" ht="13.2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2:29" ht="13.2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2:29" ht="13.2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2:29" ht="13.2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2:29" ht="13.2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2:29" ht="13.2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2:29" ht="13.2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2:29" ht="13.2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2:29" ht="13.2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2:29" ht="13.2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2:29" ht="13.2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2:29" ht="13.2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2:29" ht="13.2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2:29" ht="13.2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2:29" ht="13.2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2:29" ht="13.2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2:29" ht="13.2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2:29" ht="13.2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2:29" ht="13.2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2:29" ht="13.2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2:29" ht="13.2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2:29" ht="13.2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2:29" ht="13.2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2:29" ht="13.2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2:29" ht="13.2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2:29" ht="13.2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2:29" ht="13.2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2:29" ht="13.2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2:29" ht="13.2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2:29" ht="13.2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2:29" ht="13.2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2:29" ht="13.2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2:29" ht="13.2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2:29" ht="13.2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2:29" ht="13.2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2:29" ht="13.2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2:29" ht="13.2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2:29" ht="13.2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2:29" ht="13.2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2:29" ht="13.2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2:29" ht="13.2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2:29" ht="13.2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2:29" ht="13.2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2:29" ht="13.2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2:29" ht="13.2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2:29" ht="13.2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2:29" ht="13.2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2:29" ht="13.2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2:29" ht="13.2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2:29" ht="13.2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2:29" ht="13.2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2:29" ht="13.2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2:29" ht="13.2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2:29" ht="13.2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2:29" ht="13.2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2:29" ht="13.2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2:29" ht="13.2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2:29" ht="13.2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2:29" ht="13.2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2:29" ht="13.2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2:29" ht="13.2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2:29" ht="13.2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2:29" ht="13.2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2:29" ht="13.2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2:29" ht="13.2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2:29" ht="13.2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2:29" ht="13.2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2:29" ht="13.2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2:29" ht="13.2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2:29" ht="13.2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2:29" ht="13.2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2:29" ht="13.2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2:29" ht="13.2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2:29" ht="13.2" x14ac:dyDescent="0.25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2:29" ht="13.2" x14ac:dyDescent="0.25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2:29" ht="13.2" x14ac:dyDescent="0.25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2:29" ht="13.2" x14ac:dyDescent="0.25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2:29" ht="13.2" x14ac:dyDescent="0.2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2:29" ht="13.2" x14ac:dyDescent="0.25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2:29" ht="13.2" x14ac:dyDescent="0.25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2:29" ht="13.2" x14ac:dyDescent="0.25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2:29" ht="13.2" x14ac:dyDescent="0.25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2:29" ht="13.2" x14ac:dyDescent="0.25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2:29" ht="13.2" x14ac:dyDescent="0.25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2:29" ht="13.2" x14ac:dyDescent="0.25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2:29" ht="13.2" x14ac:dyDescent="0.25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2:29" ht="13.2" x14ac:dyDescent="0.25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2:29" ht="13.2" x14ac:dyDescent="0.2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2:29" ht="13.2" x14ac:dyDescent="0.25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2:29" ht="13.2" x14ac:dyDescent="0.25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2:29" ht="13.2" x14ac:dyDescent="0.25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2:29" ht="13.2" x14ac:dyDescent="0.25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2:29" ht="13.2" x14ac:dyDescent="0.25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2:29" ht="13.2" x14ac:dyDescent="0.25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2:29" ht="13.2" x14ac:dyDescent="0.25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2:29" ht="13.2" x14ac:dyDescent="0.25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2:29" ht="13.2" x14ac:dyDescent="0.25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2:29" ht="13.2" x14ac:dyDescent="0.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2:29" ht="13.2" x14ac:dyDescent="0.25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2:29" ht="13.2" x14ac:dyDescent="0.25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2:29" ht="13.2" x14ac:dyDescent="0.25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2:29" ht="13.2" x14ac:dyDescent="0.25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2:29" ht="13.2" x14ac:dyDescent="0.25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2:29" ht="13.2" x14ac:dyDescent="0.25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2:29" ht="13.2" x14ac:dyDescent="0.25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2:29" ht="13.2" x14ac:dyDescent="0.25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2:29" ht="13.2" x14ac:dyDescent="0.25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2:29" ht="13.2" x14ac:dyDescent="0.2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2:29" ht="13.2" x14ac:dyDescent="0.25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2:29" ht="13.2" x14ac:dyDescent="0.25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2:29" ht="13.2" x14ac:dyDescent="0.25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2:29" ht="13.2" x14ac:dyDescent="0.25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2:29" ht="13.2" x14ac:dyDescent="0.25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2:29" ht="13.2" x14ac:dyDescent="0.25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2:29" ht="13.2" x14ac:dyDescent="0.25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2:29" ht="13.2" x14ac:dyDescent="0.25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2:29" ht="13.2" x14ac:dyDescent="0.25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2:29" ht="13.2" x14ac:dyDescent="0.2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2:29" ht="13.2" x14ac:dyDescent="0.25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2:29" ht="13.2" x14ac:dyDescent="0.25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2:29" ht="13.2" x14ac:dyDescent="0.25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2:29" ht="13.2" x14ac:dyDescent="0.25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2:29" ht="13.2" x14ac:dyDescent="0.25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2:29" ht="13.2" x14ac:dyDescent="0.25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2:29" ht="13.2" x14ac:dyDescent="0.25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2:29" ht="13.2" x14ac:dyDescent="0.25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2:29" ht="13.2" x14ac:dyDescent="0.25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2:29" ht="13.2" x14ac:dyDescent="0.2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2:29" ht="13.2" x14ac:dyDescent="0.25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2:29" ht="13.2" x14ac:dyDescent="0.25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2:29" ht="13.2" x14ac:dyDescent="0.25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2:29" ht="13.2" x14ac:dyDescent="0.25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2:29" ht="13.2" x14ac:dyDescent="0.25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2:29" ht="13.2" x14ac:dyDescent="0.25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2:29" ht="13.2" x14ac:dyDescent="0.25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2:29" ht="13.2" x14ac:dyDescent="0.25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2:29" ht="13.2" x14ac:dyDescent="0.25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2:29" ht="13.2" x14ac:dyDescent="0.2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2:29" ht="13.2" x14ac:dyDescent="0.25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2:29" ht="13.2" x14ac:dyDescent="0.25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2:29" ht="13.2" x14ac:dyDescent="0.25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2:29" ht="13.2" x14ac:dyDescent="0.25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2:29" ht="13.2" x14ac:dyDescent="0.25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2:29" ht="13.2" x14ac:dyDescent="0.25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2:29" ht="13.2" x14ac:dyDescent="0.25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2:29" ht="13.2" x14ac:dyDescent="0.25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2:29" ht="13.2" x14ac:dyDescent="0.25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2:29" ht="13.2" x14ac:dyDescent="0.2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2:29" ht="13.2" x14ac:dyDescent="0.25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2:29" ht="13.2" x14ac:dyDescent="0.25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2:29" ht="13.2" x14ac:dyDescent="0.25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2:29" ht="13.2" x14ac:dyDescent="0.25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2:29" ht="13.2" x14ac:dyDescent="0.25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2:29" ht="13.2" x14ac:dyDescent="0.25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2:29" ht="13.2" x14ac:dyDescent="0.25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2:29" ht="13.2" x14ac:dyDescent="0.25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2:29" ht="13.2" x14ac:dyDescent="0.25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2:29" ht="13.2" x14ac:dyDescent="0.2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2:29" ht="13.2" x14ac:dyDescent="0.25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2:29" ht="13.2" x14ac:dyDescent="0.25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2:29" ht="13.2" x14ac:dyDescent="0.25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2:29" ht="13.2" x14ac:dyDescent="0.25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2:29" ht="13.2" x14ac:dyDescent="0.25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2:29" ht="13.2" x14ac:dyDescent="0.25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2:29" ht="13.2" x14ac:dyDescent="0.25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2:29" ht="13.2" x14ac:dyDescent="0.25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2:29" ht="13.2" x14ac:dyDescent="0.25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2:29" ht="13.2" x14ac:dyDescent="0.2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2:29" ht="13.2" x14ac:dyDescent="0.25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2:29" ht="13.2" x14ac:dyDescent="0.25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2:29" ht="13.2" x14ac:dyDescent="0.25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2:29" ht="13.2" x14ac:dyDescent="0.25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2:29" ht="13.2" x14ac:dyDescent="0.25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2:29" ht="13.2" x14ac:dyDescent="0.25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2:29" ht="13.2" x14ac:dyDescent="0.25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2:29" ht="13.2" x14ac:dyDescent="0.25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2:29" ht="13.2" x14ac:dyDescent="0.25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2:29" ht="13.2" x14ac:dyDescent="0.2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2:29" ht="13.2" x14ac:dyDescent="0.25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2:29" ht="13.2" x14ac:dyDescent="0.25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2:29" ht="13.2" x14ac:dyDescent="0.25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2:29" ht="13.2" x14ac:dyDescent="0.25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2:29" ht="13.2" x14ac:dyDescent="0.25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2:29" ht="13.2" x14ac:dyDescent="0.25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2:29" ht="13.2" x14ac:dyDescent="0.25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2:29" ht="13.2" x14ac:dyDescent="0.25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2:29" ht="13.2" x14ac:dyDescent="0.25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2:29" ht="13.2" x14ac:dyDescent="0.2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2:29" ht="13.2" x14ac:dyDescent="0.25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2:29" ht="13.2" x14ac:dyDescent="0.25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2:29" ht="13.2" x14ac:dyDescent="0.25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2:29" ht="13.2" x14ac:dyDescent="0.25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2:29" ht="13.2" x14ac:dyDescent="0.25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2:29" ht="13.2" x14ac:dyDescent="0.25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2:29" ht="13.2" x14ac:dyDescent="0.25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2:29" ht="13.2" x14ac:dyDescent="0.25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2:29" ht="13.2" x14ac:dyDescent="0.25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2:29" ht="13.2" x14ac:dyDescent="0.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2:29" ht="13.2" x14ac:dyDescent="0.25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2:29" ht="13.2" x14ac:dyDescent="0.25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2:29" ht="13.2" x14ac:dyDescent="0.25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2:29" ht="13.2" x14ac:dyDescent="0.25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2:29" ht="13.2" x14ac:dyDescent="0.25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2:29" ht="13.2" x14ac:dyDescent="0.25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2:29" ht="13.2" x14ac:dyDescent="0.25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2:29" ht="13.2" x14ac:dyDescent="0.25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2:29" ht="13.2" x14ac:dyDescent="0.25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2:29" ht="13.2" x14ac:dyDescent="0.2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2:29" ht="13.2" x14ac:dyDescent="0.25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2:29" ht="13.2" x14ac:dyDescent="0.25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2:29" ht="13.2" x14ac:dyDescent="0.25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2:29" ht="13.2" x14ac:dyDescent="0.25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2:29" ht="13.2" x14ac:dyDescent="0.25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2:29" ht="13.2" x14ac:dyDescent="0.25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2:29" ht="13.2" x14ac:dyDescent="0.25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2:29" ht="13.2" x14ac:dyDescent="0.25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2:29" ht="13.2" x14ac:dyDescent="0.25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2:29" ht="13.2" x14ac:dyDescent="0.2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2:29" ht="13.2" x14ac:dyDescent="0.25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2:29" ht="13.2" x14ac:dyDescent="0.25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2:29" ht="13.2" x14ac:dyDescent="0.25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2:29" ht="13.2" x14ac:dyDescent="0.25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2:29" ht="13.2" x14ac:dyDescent="0.25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2:29" ht="13.2" x14ac:dyDescent="0.25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2:29" ht="13.2" x14ac:dyDescent="0.25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2:29" ht="13.2" x14ac:dyDescent="0.25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2:29" ht="13.2" x14ac:dyDescent="0.25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2:29" ht="13.2" x14ac:dyDescent="0.2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2:29" ht="13.2" x14ac:dyDescent="0.25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2:29" ht="13.2" x14ac:dyDescent="0.25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2:29" ht="13.2" x14ac:dyDescent="0.25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2:29" ht="13.2" x14ac:dyDescent="0.25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2:29" ht="13.2" x14ac:dyDescent="0.25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2:29" ht="13.2" x14ac:dyDescent="0.25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2:29" ht="13.2" x14ac:dyDescent="0.25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2:29" ht="13.2" x14ac:dyDescent="0.25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2:29" ht="13.2" x14ac:dyDescent="0.25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2:29" ht="13.2" x14ac:dyDescent="0.2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2:29" ht="13.2" x14ac:dyDescent="0.25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2:29" ht="13.2" x14ac:dyDescent="0.25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2:29" ht="13.2" x14ac:dyDescent="0.25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2:29" ht="13.2" x14ac:dyDescent="0.25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2:29" ht="13.2" x14ac:dyDescent="0.25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2:29" ht="13.2" x14ac:dyDescent="0.25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2:29" ht="13.2" x14ac:dyDescent="0.25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2:29" ht="13.2" x14ac:dyDescent="0.25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2:29" ht="13.2" x14ac:dyDescent="0.25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2:29" ht="13.2" x14ac:dyDescent="0.2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2:29" ht="13.2" x14ac:dyDescent="0.25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2:29" ht="13.2" x14ac:dyDescent="0.25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2:29" ht="13.2" x14ac:dyDescent="0.25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2:29" ht="13.2" x14ac:dyDescent="0.25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2:29" ht="13.2" x14ac:dyDescent="0.25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2:29" ht="13.2" x14ac:dyDescent="0.25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2:29" ht="13.2" x14ac:dyDescent="0.25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2:29" ht="13.2" x14ac:dyDescent="0.25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2:29" ht="13.2" x14ac:dyDescent="0.25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2:29" ht="13.2" x14ac:dyDescent="0.2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2:29" ht="13.2" x14ac:dyDescent="0.25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2:29" ht="13.2" x14ac:dyDescent="0.25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2:29" ht="13.2" x14ac:dyDescent="0.25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spans="2:29" ht="13.2" x14ac:dyDescent="0.25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spans="2:29" ht="13.2" x14ac:dyDescent="0.25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spans="2:29" ht="13.2" x14ac:dyDescent="0.25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spans="2:29" ht="13.2" x14ac:dyDescent="0.25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spans="2:29" ht="13.2" x14ac:dyDescent="0.25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spans="2:29" ht="13.2" x14ac:dyDescent="0.25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spans="2:29" ht="13.2" x14ac:dyDescent="0.2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spans="2:29" ht="13.2" x14ac:dyDescent="0.25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spans="2:29" ht="13.2" x14ac:dyDescent="0.25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spans="2:29" ht="13.2" x14ac:dyDescent="0.25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spans="2:29" ht="13.2" x14ac:dyDescent="0.25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spans="2:29" ht="13.2" x14ac:dyDescent="0.25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 spans="2:29" ht="13.2" x14ac:dyDescent="0.25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</sheetData>
  <mergeCells count="3">
    <mergeCell ref="I2:K2"/>
    <mergeCell ref="M2:O2"/>
    <mergeCell ref="B2:E2"/>
  </mergeCells>
  <hyperlinks>
    <hyperlink ref="G1" r:id="rId1" xr:uid="{00000000-0004-0000-0000-000001000000}"/>
    <hyperlink ref="F1" r:id="rId2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3"/>
  <sheetViews>
    <sheetView workbookViewId="0"/>
  </sheetViews>
  <sheetFormatPr defaultColWidth="12.6640625" defaultRowHeight="15.75" customHeight="1" x14ac:dyDescent="0.25"/>
  <sheetData>
    <row r="1" spans="1:11" x14ac:dyDescent="0.25">
      <c r="A1" s="1"/>
      <c r="B1" s="1"/>
      <c r="C1" s="1"/>
      <c r="D1" s="1"/>
      <c r="E1" s="1"/>
      <c r="F1" s="8"/>
      <c r="G1" s="8"/>
      <c r="H1" s="3"/>
      <c r="I1" s="3"/>
      <c r="J1" s="3"/>
      <c r="K1" s="3"/>
    </row>
    <row r="2" spans="1:11" x14ac:dyDescent="0.25">
      <c r="A2" s="13" t="s">
        <v>102</v>
      </c>
      <c r="B2" s="14"/>
      <c r="C2" s="14"/>
      <c r="D2" s="14"/>
      <c r="E2" s="14"/>
      <c r="F2" s="1">
        <v>0</v>
      </c>
      <c r="G2" s="1">
        <v>0</v>
      </c>
      <c r="H2" s="3"/>
      <c r="I2" s="1" t="s">
        <v>5</v>
      </c>
      <c r="J2" s="1" t="s">
        <v>6</v>
      </c>
      <c r="K2" s="1" t="s">
        <v>7</v>
      </c>
    </row>
    <row r="3" spans="1:11" x14ac:dyDescent="0.25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</row>
  </sheetData>
  <mergeCells count="1"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Mandaluyong</vt:lpstr>
      <vt:lpstr>Pasay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LLOYD U. UNIDA</cp:lastModifiedBy>
  <dcterms:modified xsi:type="dcterms:W3CDTF">2025-11-26T12:40:55Z</dcterms:modified>
</cp:coreProperties>
</file>